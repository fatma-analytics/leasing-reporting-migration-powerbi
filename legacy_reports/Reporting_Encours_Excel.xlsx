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D Encours" sheetId="1" state="visible" r:id="rId1"/>
    <sheet name="Détail contrats" sheetId="2" state="visible" r:id="rId2"/>
    <sheet name="Paiements contr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fr-FR]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CDEncours" displayName="TCDEncours" ref="A4:D7" headerRowCount="1">
  <autoFilter ref="A4:D7"/>
  <tableColumns count="4">
    <tableColumn id="1" name="categorie"/>
    <tableColumn id="2" name="encours_excel_legacy"/>
    <tableColumn id="3" name="encours_sql_corrige"/>
    <tableColumn id="4" name="contra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tailsEncours" displayName="DetailsEncours" ref="A1:J1961" headerRowCount="1">
  <autoFilter ref="A1:J1961"/>
  <tableColumns count="10">
    <tableColumn id="1" name="contrat_id"/>
    <tableColumn id="2" name="client_id"/>
    <tableColumn id="3" name="territoire"/>
    <tableColumn id="4" name="categorie"/>
    <tableColumn id="5" name="produit"/>
    <tableColumn id="6" name="date_debut"/>
    <tableColumn id="7" name="montant_finance"/>
    <tableColumn id="8" name="encours_excel_legacy"/>
    <tableColumn id="9" name="encours_sql"/>
    <tableColumn id="10" name="stat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iementsContrat" displayName="PaiementsContrat" ref="A1:B1867" headerRowCount="1">
  <autoFilter ref="A1:B1867"/>
  <tableColumns count="2">
    <tableColumn id="1" name="contrat_id"/>
    <tableColumn id="2" name="paiements_cumu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2" customWidth="1" min="4" max="4"/>
    <col width="55" customWidth="1" min="6" max="6"/>
  </cols>
  <sheetData>
    <row r="1">
      <c r="A1" s="1" t="inlineStr">
        <is>
          <t>REPORTING ENCOURS — CALCUL MANUEL SIMULÉ</t>
        </is>
      </c>
    </row>
    <row r="2">
      <c r="A2" t="inlineStr">
        <is>
          <t>Arrêté 31/03/2026 · la colonne Excel reproduit une formule héritée à corriger.</t>
        </is>
      </c>
    </row>
    <row r="3"/>
    <row r="4" ht="28" customHeight="1">
      <c r="A4" s="2" t="inlineStr">
        <is>
          <t>categorie</t>
        </is>
      </c>
      <c r="B4" s="2" t="inlineStr">
        <is>
          <t>encours_excel_legacy</t>
        </is>
      </c>
      <c r="C4" s="2" t="inlineStr">
        <is>
          <t>encours_sql_corrige</t>
        </is>
      </c>
      <c r="D4" s="2" t="inlineStr">
        <is>
          <t>contrats</t>
        </is>
      </c>
      <c r="F4" s="3" t="inlineStr">
        <is>
          <t>Écart constaté</t>
        </is>
      </c>
    </row>
    <row r="5" ht="70" customHeight="1">
      <c r="A5" t="inlineStr">
        <is>
          <t>auto</t>
        </is>
      </c>
      <c r="B5" s="4" t="n">
        <v>29417037.67</v>
      </c>
      <c r="C5" s="4" t="n">
        <v>31248744.21517947</v>
      </c>
      <c r="D5" t="n">
        <v>1188</v>
      </c>
      <c r="F5" s="5" t="inlineStr">
        <is>
          <t>L’ancienne formule soustrait les encaissements totaux (capital + intérêts) du principal financé. La migration conserve l’encours restant en capital via l’échéancier amortissable.</t>
        </is>
      </c>
    </row>
    <row r="6">
      <c r="A6" t="inlineStr">
        <is>
          <t>bateau</t>
        </is>
      </c>
      <c r="B6" s="4" t="n">
        <v>14132393.05</v>
      </c>
      <c r="C6" s="4" t="n">
        <v>15048483.74583683</v>
      </c>
      <c r="D6" t="n">
        <v>161</v>
      </c>
    </row>
    <row r="7">
      <c r="A7" t="inlineStr">
        <is>
          <t>materiel</t>
        </is>
      </c>
      <c r="B7" s="4" t="n">
        <v>37409878.01</v>
      </c>
      <c r="C7" s="4" t="n">
        <v>39363749.11579631</v>
      </c>
      <c r="D7" t="n">
        <v>611</v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17" customWidth="1" min="7" max="7"/>
    <col width="22" customWidth="1" min="8" max="8"/>
    <col width="25" customWidth="1" min="9" max="9"/>
    <col width="13" customWidth="1" min="10" max="10"/>
  </cols>
  <sheetData>
    <row r="1" ht="28" customHeight="1">
      <c r="A1" s="2" t="inlineStr">
        <is>
          <t>contrat_id</t>
        </is>
      </c>
      <c r="B1" s="2" t="inlineStr">
        <is>
          <t>client_id</t>
        </is>
      </c>
      <c r="C1" s="2" t="inlineStr">
        <is>
          <t>territoire</t>
        </is>
      </c>
      <c r="D1" s="2" t="inlineStr">
        <is>
          <t>categorie</t>
        </is>
      </c>
      <c r="E1" s="2" t="inlineStr">
        <is>
          <t>produit</t>
        </is>
      </c>
      <c r="F1" s="2" t="inlineStr">
        <is>
          <t>date_debut</t>
        </is>
      </c>
      <c r="G1" s="2" t="inlineStr">
        <is>
          <t>montant_finance</t>
        </is>
      </c>
      <c r="H1" s="2" t="inlineStr">
        <is>
          <t>encours_excel_legacy</t>
        </is>
      </c>
      <c r="I1" s="2" t="inlineStr">
        <is>
          <t>encours_sql</t>
        </is>
      </c>
      <c r="J1" s="2" t="inlineStr">
        <is>
          <t>statut</t>
        </is>
      </c>
    </row>
    <row r="2">
      <c r="A2" t="inlineStr">
        <is>
          <t>CTR-00001</t>
        </is>
      </c>
      <c r="B2" t="inlineStr">
        <is>
          <t>CLI-00993</t>
        </is>
      </c>
      <c r="C2" t="inlineStr">
        <is>
          <t>Île-de-France</t>
        </is>
      </c>
      <c r="D2" t="inlineStr">
        <is>
          <t>auto</t>
        </is>
      </c>
      <c r="E2" t="inlineStr">
        <is>
          <t>LOA</t>
        </is>
      </c>
      <c r="F2" t="inlineStr">
        <is>
          <t>2024-10-01</t>
        </is>
      </c>
      <c r="G2" s="4" t="n">
        <v>46926.24</v>
      </c>
      <c r="H2" s="4">
        <f>MAX(0,G2-SUMIFS('Paiements contrat'!$B:$B,'Paiements contrat'!$A:$A,A2))</f>
        <v/>
      </c>
      <c r="I2" s="4" t="n">
        <v>25285.41</v>
      </c>
      <c r="J2" t="inlineStr">
        <is>
          <t>contentieux</t>
        </is>
      </c>
    </row>
    <row r="3">
      <c r="A3" t="inlineStr">
        <is>
          <t>CTR-00002</t>
        </is>
      </c>
      <c r="B3" t="inlineStr">
        <is>
          <t>CLI-00113</t>
        </is>
      </c>
      <c r="C3" t="inlineStr">
        <is>
          <t>Guyane</t>
        </is>
      </c>
      <c r="D3" t="inlineStr">
        <is>
          <t>auto</t>
        </is>
      </c>
      <c r="E3" t="inlineStr">
        <is>
          <t>LLD</t>
        </is>
      </c>
      <c r="F3" t="inlineStr">
        <is>
          <t>2026-03-06</t>
        </is>
      </c>
      <c r="G3" s="4" t="n">
        <v>10617.13</v>
      </c>
      <c r="H3" s="4">
        <f>MAX(0,G3-SUMIFS('Paiements contrat'!$B:$B,'Paiements contrat'!$A:$A,A3))</f>
        <v/>
      </c>
      <c r="I3" s="4" t="n">
        <v>10617.13</v>
      </c>
      <c r="J3" t="inlineStr">
        <is>
          <t>actif</t>
        </is>
      </c>
    </row>
    <row r="4">
      <c r="A4" t="inlineStr">
        <is>
          <t>CTR-00003</t>
        </is>
      </c>
      <c r="B4" t="inlineStr">
        <is>
          <t>CLI-00562</t>
        </is>
      </c>
      <c r="C4" t="inlineStr">
        <is>
          <t>Île-de-France</t>
        </is>
      </c>
      <c r="D4" t="inlineStr">
        <is>
          <t>auto</t>
        </is>
      </c>
      <c r="E4" t="inlineStr">
        <is>
          <t>LOA</t>
        </is>
      </c>
      <c r="F4" t="inlineStr">
        <is>
          <t>2024-04-25</t>
        </is>
      </c>
      <c r="G4" s="4" t="n">
        <v>71327.64</v>
      </c>
      <c r="H4" s="4">
        <f>MAX(0,G4-SUMIFS('Paiements contrat'!$B:$B,'Paiements contrat'!$A:$A,A4))</f>
        <v/>
      </c>
      <c r="I4" s="4" t="n">
        <v>9197.300000000003</v>
      </c>
      <c r="J4" t="inlineStr">
        <is>
          <t>actif</t>
        </is>
      </c>
    </row>
    <row r="5">
      <c r="A5" t="inlineStr">
        <is>
          <t>CTR-00004</t>
        </is>
      </c>
      <c r="B5" t="inlineStr">
        <is>
          <t>CLI-01046</t>
        </is>
      </c>
      <c r="C5" t="inlineStr">
        <is>
          <t>Île-de-France</t>
        </is>
      </c>
      <c r="D5" t="inlineStr">
        <is>
          <t>materiel</t>
        </is>
      </c>
      <c r="E5" t="inlineStr">
        <is>
          <t>crédit-bail</t>
        </is>
      </c>
      <c r="F5" t="inlineStr">
        <is>
          <t>2026-03-12</t>
        </is>
      </c>
      <c r="G5" s="4" t="n">
        <v>93597.2</v>
      </c>
      <c r="H5" s="4">
        <f>MAX(0,G5-SUMIFS('Paiements contrat'!$B:$B,'Paiements contrat'!$A:$A,A5))</f>
        <v/>
      </c>
      <c r="I5" s="4" t="n">
        <v>93597.2</v>
      </c>
      <c r="J5" t="inlineStr">
        <is>
          <t>actif</t>
        </is>
      </c>
    </row>
    <row r="6">
      <c r="A6" t="inlineStr">
        <is>
          <t>CTR-00005</t>
        </is>
      </c>
      <c r="B6" t="inlineStr">
        <is>
          <t>CLI-00161</t>
        </is>
      </c>
      <c r="C6" t="inlineStr">
        <is>
          <t>Guadeloupe</t>
        </is>
      </c>
      <c r="D6" t="inlineStr">
        <is>
          <t>auto</t>
        </is>
      </c>
      <c r="E6" t="inlineStr">
        <is>
          <t>LLD</t>
        </is>
      </c>
      <c r="F6" t="inlineStr">
        <is>
          <t>2024-08-04</t>
        </is>
      </c>
      <c r="G6" s="4" t="n">
        <v>46959.02</v>
      </c>
      <c r="H6" s="4">
        <f>MAX(0,G6-SUMIFS('Paiements contrat'!$B:$B,'Paiements contrat'!$A:$A,A6))</f>
        <v/>
      </c>
      <c r="I6" s="4" t="n">
        <v>4472.032369406763</v>
      </c>
      <c r="J6" t="inlineStr">
        <is>
          <t>soldé</t>
        </is>
      </c>
    </row>
    <row r="7">
      <c r="A7" t="inlineStr">
        <is>
          <t>CTR-00006</t>
        </is>
      </c>
      <c r="B7" t="inlineStr">
        <is>
          <t>CLI-01277</t>
        </is>
      </c>
      <c r="C7" t="inlineStr">
        <is>
          <t>Réunion</t>
        </is>
      </c>
      <c r="D7" t="inlineStr">
        <is>
          <t>auto</t>
        </is>
      </c>
      <c r="E7" t="inlineStr">
        <is>
          <t>LLD</t>
        </is>
      </c>
      <c r="F7" t="inlineStr">
        <is>
          <t>2025-01-21</t>
        </is>
      </c>
      <c r="G7" s="4" t="n">
        <v>35077.62</v>
      </c>
      <c r="H7" s="4">
        <f>MAX(0,G7-SUMIFS('Paiements contrat'!$B:$B,'Paiements contrat'!$A:$A,A7))</f>
        <v/>
      </c>
      <c r="I7" s="4" t="n">
        <v>19280.87</v>
      </c>
      <c r="J7" t="inlineStr">
        <is>
          <t>actif</t>
        </is>
      </c>
    </row>
    <row r="8">
      <c r="A8" t="inlineStr">
        <is>
          <t>CTR-00007</t>
        </is>
      </c>
      <c r="B8" t="inlineStr">
        <is>
          <t>CLI-01173</t>
        </is>
      </c>
      <c r="C8" t="inlineStr">
        <is>
          <t>Île-de-France</t>
        </is>
      </c>
      <c r="D8" t="inlineStr">
        <is>
          <t>auto</t>
        </is>
      </c>
      <c r="E8" t="inlineStr">
        <is>
          <t>LOA</t>
        </is>
      </c>
      <c r="F8" t="inlineStr">
        <is>
          <t>2024-10-13</t>
        </is>
      </c>
      <c r="G8" s="4" t="n">
        <v>12330.09</v>
      </c>
      <c r="H8" s="4">
        <f>MAX(0,G8-SUMIFS('Paiements contrat'!$B:$B,'Paiements contrat'!$A:$A,A8))</f>
        <v/>
      </c>
      <c r="I8" s="4" t="n">
        <v>4344.43</v>
      </c>
      <c r="J8" t="inlineStr">
        <is>
          <t>actif</t>
        </is>
      </c>
    </row>
    <row r="9">
      <c r="A9" t="inlineStr">
        <is>
          <t>CTR-00008</t>
        </is>
      </c>
      <c r="B9" t="inlineStr">
        <is>
          <t>CLI-00490</t>
        </is>
      </c>
      <c r="C9" t="inlineStr">
        <is>
          <t>Martinique</t>
        </is>
      </c>
      <c r="D9" t="inlineStr">
        <is>
          <t>auto</t>
        </is>
      </c>
      <c r="E9" t="inlineStr">
        <is>
          <t>LOA</t>
        </is>
      </c>
      <c r="F9" t="inlineStr">
        <is>
          <t>2025-10-10</t>
        </is>
      </c>
      <c r="G9" s="4" t="n">
        <v>24526.21</v>
      </c>
      <c r="H9" s="4">
        <f>MAX(0,G9-SUMIFS('Paiements contrat'!$B:$B,'Paiements contrat'!$A:$A,A9))</f>
        <v/>
      </c>
      <c r="I9" s="4" t="n">
        <v>19549.09</v>
      </c>
      <c r="J9" t="inlineStr">
        <is>
          <t>actif</t>
        </is>
      </c>
    </row>
    <row r="10">
      <c r="A10" t="inlineStr">
        <is>
          <t>CTR-00009</t>
        </is>
      </c>
      <c r="B10" t="inlineStr">
        <is>
          <t>CLI-01140</t>
        </is>
      </c>
      <c r="C10" t="inlineStr">
        <is>
          <t>Île-de-France</t>
        </is>
      </c>
      <c r="D10" t="inlineStr">
        <is>
          <t>auto</t>
        </is>
      </c>
      <c r="E10" t="inlineStr">
        <is>
          <t>LOA</t>
        </is>
      </c>
      <c r="F10" t="inlineStr">
        <is>
          <t>2025-10-10</t>
        </is>
      </c>
      <c r="G10" s="4" t="n">
        <v>66633.77</v>
      </c>
      <c r="H10" s="4">
        <f>MAX(0,G10-SUMIFS('Paiements contrat'!$B:$B,'Paiements contrat'!$A:$A,A10))</f>
        <v/>
      </c>
      <c r="I10" s="4" t="n">
        <v>55789.60000000001</v>
      </c>
      <c r="J10" t="inlineStr">
        <is>
          <t>actif</t>
        </is>
      </c>
    </row>
    <row r="11">
      <c r="A11" t="inlineStr">
        <is>
          <t>CTR-00010</t>
        </is>
      </c>
      <c r="B11" t="inlineStr">
        <is>
          <t>CLI-00423</t>
        </is>
      </c>
      <c r="C11" t="inlineStr">
        <is>
          <t>Île-de-France</t>
        </is>
      </c>
      <c r="D11" t="inlineStr">
        <is>
          <t>bateau</t>
        </is>
      </c>
      <c r="E11" t="inlineStr">
        <is>
          <t>LOA</t>
        </is>
      </c>
      <c r="F11" t="inlineStr">
        <is>
          <t>2025-08-14</t>
        </is>
      </c>
      <c r="G11" s="4" t="n">
        <v>272997.61</v>
      </c>
      <c r="H11" s="4">
        <f>MAX(0,G11-SUMIFS('Paiements contrat'!$B:$B,'Paiements contrat'!$A:$A,A11))</f>
        <v/>
      </c>
      <c r="I11" s="4" t="n">
        <v>252068.45</v>
      </c>
      <c r="J11" t="inlineStr">
        <is>
          <t>actif</t>
        </is>
      </c>
    </row>
    <row r="12">
      <c r="A12" t="inlineStr">
        <is>
          <t>CTR-00011</t>
        </is>
      </c>
      <c r="B12" t="inlineStr">
        <is>
          <t>CLI-00068</t>
        </is>
      </c>
      <c r="C12" t="inlineStr">
        <is>
          <t>Île-de-France</t>
        </is>
      </c>
      <c r="D12" t="inlineStr">
        <is>
          <t>auto</t>
        </is>
      </c>
      <c r="E12" t="inlineStr">
        <is>
          <t>LOA</t>
        </is>
      </c>
      <c r="F12" t="inlineStr">
        <is>
          <t>2024-05-11</t>
        </is>
      </c>
      <c r="G12" s="4" t="n">
        <v>50087.5</v>
      </c>
      <c r="H12" s="4">
        <f>MAX(0,G12-SUMIFS('Paiements contrat'!$B:$B,'Paiements contrat'!$A:$A,A12))</f>
        <v/>
      </c>
      <c r="I12" s="4" t="n">
        <v>21393.52</v>
      </c>
      <c r="J12" t="inlineStr">
        <is>
          <t>actif</t>
        </is>
      </c>
    </row>
    <row r="13">
      <c r="A13" t="inlineStr">
        <is>
          <t>CTR-00012</t>
        </is>
      </c>
      <c r="B13" t="inlineStr">
        <is>
          <t>CLI-01204</t>
        </is>
      </c>
      <c r="C13" t="inlineStr">
        <is>
          <t>Île-de-France</t>
        </is>
      </c>
      <c r="D13" t="inlineStr">
        <is>
          <t>auto</t>
        </is>
      </c>
      <c r="E13" t="inlineStr">
        <is>
          <t>LOA</t>
        </is>
      </c>
      <c r="F13" t="inlineStr">
        <is>
          <t>2024-10-13</t>
        </is>
      </c>
      <c r="G13" s="4" t="n">
        <v>10700.13</v>
      </c>
      <c r="H13" s="4">
        <f>MAX(0,G13-SUMIFS('Paiements contrat'!$B:$B,'Paiements contrat'!$A:$A,A13))</f>
        <v/>
      </c>
      <c r="I13" s="4" t="n">
        <v>1985.406764275025</v>
      </c>
      <c r="J13" t="inlineStr">
        <is>
          <t>actif</t>
        </is>
      </c>
    </row>
    <row r="14">
      <c r="A14" t="inlineStr">
        <is>
          <t>CTR-00013</t>
        </is>
      </c>
      <c r="B14" t="inlineStr">
        <is>
          <t>CLI-00418</t>
        </is>
      </c>
      <c r="C14" t="inlineStr">
        <is>
          <t>Île-de-France</t>
        </is>
      </c>
      <c r="D14" t="inlineStr">
        <is>
          <t>bateau</t>
        </is>
      </c>
      <c r="E14" t="inlineStr">
        <is>
          <t>LOA</t>
        </is>
      </c>
      <c r="F14" t="inlineStr">
        <is>
          <t>2025-08-04</t>
        </is>
      </c>
      <c r="G14" s="4" t="n">
        <v>90355.33</v>
      </c>
      <c r="H14" s="4">
        <f>MAX(0,G14-SUMIFS('Paiements contrat'!$B:$B,'Paiements contrat'!$A:$A,A14))</f>
        <v/>
      </c>
      <c r="I14" s="4" t="n">
        <v>76641.18000000001</v>
      </c>
      <c r="J14" t="inlineStr">
        <is>
          <t>actif</t>
        </is>
      </c>
    </row>
    <row r="15">
      <c r="A15" t="inlineStr">
        <is>
          <t>CTR-00014</t>
        </is>
      </c>
      <c r="B15" t="inlineStr">
        <is>
          <t>CLI-00336</t>
        </is>
      </c>
      <c r="C15" t="inlineStr">
        <is>
          <t>Île-de-France</t>
        </is>
      </c>
      <c r="D15" t="inlineStr">
        <is>
          <t>materiel</t>
        </is>
      </c>
      <c r="E15" t="inlineStr">
        <is>
          <t>crédit-bail</t>
        </is>
      </c>
      <c r="F15" t="inlineStr">
        <is>
          <t>2025-09-17</t>
        </is>
      </c>
      <c r="G15" s="4" t="n">
        <v>70342.08</v>
      </c>
      <c r="H15" s="4">
        <f>MAX(0,G15-SUMIFS('Paiements contrat'!$B:$B,'Paiements contrat'!$A:$A,A15))</f>
        <v/>
      </c>
      <c r="I15" s="4" t="n">
        <v>56954.69</v>
      </c>
      <c r="J15" t="inlineStr">
        <is>
          <t>actif</t>
        </is>
      </c>
    </row>
    <row r="16">
      <c r="A16" t="inlineStr">
        <is>
          <t>CTR-00015</t>
        </is>
      </c>
      <c r="B16" t="inlineStr">
        <is>
          <t>CLI-00273</t>
        </is>
      </c>
      <c r="C16" t="inlineStr">
        <is>
          <t>Île-de-France</t>
        </is>
      </c>
      <c r="D16" t="inlineStr">
        <is>
          <t>materiel</t>
        </is>
      </c>
      <c r="E16" t="inlineStr">
        <is>
          <t>crédit-bail</t>
        </is>
      </c>
      <c r="F16" t="inlineStr">
        <is>
          <t>2024-08-24</t>
        </is>
      </c>
      <c r="G16" s="4" t="n">
        <v>61005.92</v>
      </c>
      <c r="H16" s="4">
        <f>MAX(0,G16-SUMIFS('Paiements contrat'!$B:$B,'Paiements contrat'!$A:$A,A16))</f>
        <v/>
      </c>
      <c r="I16" s="4" t="n">
        <v>4949.453284220668</v>
      </c>
      <c r="J16" t="inlineStr">
        <is>
          <t>actif</t>
        </is>
      </c>
    </row>
    <row r="17">
      <c r="A17" t="inlineStr">
        <is>
          <t>CTR-00016</t>
        </is>
      </c>
      <c r="B17" t="inlineStr">
        <is>
          <t>CLI-00260</t>
        </is>
      </c>
      <c r="C17" t="inlineStr">
        <is>
          <t>Île-de-France</t>
        </is>
      </c>
      <c r="D17" t="inlineStr">
        <is>
          <t>auto</t>
        </is>
      </c>
      <c r="E17" t="inlineStr">
        <is>
          <t>LLD</t>
        </is>
      </c>
      <c r="F17" t="inlineStr">
        <is>
          <t>2025-07-14</t>
        </is>
      </c>
      <c r="G17" s="4" t="n">
        <v>20364.82</v>
      </c>
      <c r="H17" s="4">
        <f>MAX(0,G17-SUMIFS('Paiements contrat'!$B:$B,'Paiements contrat'!$A:$A,A17))</f>
        <v/>
      </c>
      <c r="I17" s="4" t="n">
        <v>6893.82</v>
      </c>
      <c r="J17" t="inlineStr">
        <is>
          <t>actif</t>
        </is>
      </c>
    </row>
    <row r="18">
      <c r="A18" t="inlineStr">
        <is>
          <t>CTR-00017</t>
        </is>
      </c>
      <c r="B18" t="inlineStr">
        <is>
          <t>CLI-00045</t>
        </is>
      </c>
      <c r="C18" t="inlineStr">
        <is>
          <t>Île-de-France</t>
        </is>
      </c>
      <c r="D18" t="inlineStr">
        <is>
          <t>auto</t>
        </is>
      </c>
      <c r="E18" t="inlineStr">
        <is>
          <t>LOA</t>
        </is>
      </c>
      <c r="F18" t="inlineStr">
        <is>
          <t>2025-05-12</t>
        </is>
      </c>
      <c r="G18" s="4" t="n">
        <v>16328.42</v>
      </c>
      <c r="H18" s="4">
        <f>MAX(0,G18-SUMIFS('Paiements contrat'!$B:$B,'Paiements contrat'!$A:$A,A18))</f>
        <v/>
      </c>
      <c r="I18" s="4" t="n">
        <v>10463.21</v>
      </c>
      <c r="J18" t="inlineStr">
        <is>
          <t>actif</t>
        </is>
      </c>
    </row>
    <row r="19">
      <c r="A19" t="inlineStr">
        <is>
          <t>CTR-00018</t>
        </is>
      </c>
      <c r="B19" t="inlineStr">
        <is>
          <t>CLI-01080</t>
        </is>
      </c>
      <c r="C19" t="inlineStr">
        <is>
          <t>Île-de-France</t>
        </is>
      </c>
      <c r="D19" t="inlineStr">
        <is>
          <t>auto</t>
        </is>
      </c>
      <c r="E19" t="inlineStr">
        <is>
          <t>LOA</t>
        </is>
      </c>
      <c r="F19" t="inlineStr">
        <is>
          <t>2024-06-16</t>
        </is>
      </c>
      <c r="G19" s="4" t="n">
        <v>11030.76</v>
      </c>
      <c r="H19" s="4">
        <f>MAX(0,G19-SUMIFS('Paiements contrat'!$B:$B,'Paiements contrat'!$A:$A,A19))</f>
        <v/>
      </c>
      <c r="I19" s="4" t="n">
        <v>0</v>
      </c>
      <c r="J19" t="inlineStr">
        <is>
          <t>soldé</t>
        </is>
      </c>
    </row>
    <row r="20">
      <c r="A20" t="inlineStr">
        <is>
          <t>CTR-00019</t>
        </is>
      </c>
      <c r="B20" t="inlineStr">
        <is>
          <t>CLI-01180</t>
        </is>
      </c>
      <c r="C20" t="inlineStr">
        <is>
          <t>Île-de-France</t>
        </is>
      </c>
      <c r="D20" t="inlineStr">
        <is>
          <t>auto</t>
        </is>
      </c>
      <c r="E20" t="inlineStr">
        <is>
          <t>LOA</t>
        </is>
      </c>
      <c r="F20" t="inlineStr">
        <is>
          <t>2026-03-21</t>
        </is>
      </c>
      <c r="G20" s="4" t="n">
        <v>17119.02</v>
      </c>
      <c r="H20" s="4">
        <f>MAX(0,G20-SUMIFS('Paiements contrat'!$B:$B,'Paiements contrat'!$A:$A,A20))</f>
        <v/>
      </c>
      <c r="I20" s="4" t="n">
        <v>17119.02</v>
      </c>
      <c r="J20" t="inlineStr">
        <is>
          <t>actif</t>
        </is>
      </c>
    </row>
    <row r="21">
      <c r="A21" t="inlineStr">
        <is>
          <t>CTR-00020</t>
        </is>
      </c>
      <c r="B21" t="inlineStr">
        <is>
          <t>CLI-00922</t>
        </is>
      </c>
      <c r="C21" t="inlineStr">
        <is>
          <t>Île-de-France</t>
        </is>
      </c>
      <c r="D21" t="inlineStr">
        <is>
          <t>auto</t>
        </is>
      </c>
      <c r="E21" t="inlineStr">
        <is>
          <t>LLD</t>
        </is>
      </c>
      <c r="F21" t="inlineStr">
        <is>
          <t>2025-12-01</t>
        </is>
      </c>
      <c r="G21" s="4" t="n">
        <v>45775.36</v>
      </c>
      <c r="H21" s="4">
        <f>MAX(0,G21-SUMIFS('Paiements contrat'!$B:$B,'Paiements contrat'!$A:$A,A21))</f>
        <v/>
      </c>
      <c r="I21" s="4" t="n">
        <v>42908.69</v>
      </c>
      <c r="J21" t="inlineStr">
        <is>
          <t>actif</t>
        </is>
      </c>
    </row>
    <row r="22">
      <c r="A22" t="inlineStr">
        <is>
          <t>CTR-00021</t>
        </is>
      </c>
      <c r="B22" t="inlineStr">
        <is>
          <t>CLI-01480</t>
        </is>
      </c>
      <c r="C22" t="inlineStr">
        <is>
          <t>Île-de-France</t>
        </is>
      </c>
      <c r="D22" t="inlineStr">
        <is>
          <t>materiel</t>
        </is>
      </c>
      <c r="E22" t="inlineStr">
        <is>
          <t>crédit-bail</t>
        </is>
      </c>
      <c r="F22" t="inlineStr">
        <is>
          <t>2026-02-02</t>
        </is>
      </c>
      <c r="G22" s="4" t="n">
        <v>21462.31</v>
      </c>
      <c r="H22" s="4">
        <f>MAX(0,G22-SUMIFS('Paiements contrat'!$B:$B,'Paiements contrat'!$A:$A,A22))</f>
        <v/>
      </c>
      <c r="I22" s="4" t="n">
        <v>20806.02</v>
      </c>
      <c r="J22" t="inlineStr">
        <is>
          <t>actif</t>
        </is>
      </c>
    </row>
    <row r="23">
      <c r="A23" t="inlineStr">
        <is>
          <t>CTR-00022</t>
        </is>
      </c>
      <c r="B23" t="inlineStr">
        <is>
          <t>CLI-00779</t>
        </is>
      </c>
      <c r="C23" t="inlineStr">
        <is>
          <t>Guyane</t>
        </is>
      </c>
      <c r="D23" t="inlineStr">
        <is>
          <t>auto</t>
        </is>
      </c>
      <c r="E23" t="inlineStr">
        <is>
          <t>LOA</t>
        </is>
      </c>
      <c r="F23" t="inlineStr">
        <is>
          <t>2026-01-15</t>
        </is>
      </c>
      <c r="G23" s="4" t="n">
        <v>64270.81</v>
      </c>
      <c r="H23" s="4">
        <f>MAX(0,G23-SUMIFS('Paiements contrat'!$B:$B,'Paiements contrat'!$A:$A,A23))</f>
        <v/>
      </c>
      <c r="I23" s="4" t="n">
        <v>61960.84</v>
      </c>
      <c r="J23" t="inlineStr">
        <is>
          <t>actif</t>
        </is>
      </c>
    </row>
    <row r="24">
      <c r="A24" t="inlineStr">
        <is>
          <t>CTR-00023</t>
        </is>
      </c>
      <c r="B24" t="inlineStr">
        <is>
          <t>CLI-01495</t>
        </is>
      </c>
      <c r="C24" t="inlineStr">
        <is>
          <t>Île-de-France</t>
        </is>
      </c>
      <c r="D24" t="inlineStr">
        <is>
          <t>bateau</t>
        </is>
      </c>
      <c r="E24" t="inlineStr">
        <is>
          <t>LOA</t>
        </is>
      </c>
      <c r="F24" t="inlineStr">
        <is>
          <t>2025-01-23</t>
        </is>
      </c>
      <c r="G24" s="4" t="n">
        <v>231673.86</v>
      </c>
      <c r="H24" s="4">
        <f>MAX(0,G24-SUMIFS('Paiements contrat'!$B:$B,'Paiements contrat'!$A:$A,A24))</f>
        <v/>
      </c>
      <c r="I24" s="4" t="n">
        <v>78461.73999999999</v>
      </c>
      <c r="J24" t="inlineStr">
        <is>
          <t>actif</t>
        </is>
      </c>
    </row>
    <row r="25">
      <c r="A25" t="inlineStr">
        <is>
          <t>CTR-00024</t>
        </is>
      </c>
      <c r="B25" t="inlineStr">
        <is>
          <t>CLI-00734</t>
        </is>
      </c>
      <c r="C25" t="inlineStr">
        <is>
          <t>Île-de-France</t>
        </is>
      </c>
      <c r="D25" t="inlineStr">
        <is>
          <t>auto</t>
        </is>
      </c>
      <c r="E25" t="inlineStr">
        <is>
          <t>LOA</t>
        </is>
      </c>
      <c r="F25" t="inlineStr">
        <is>
          <t>2024-12-09</t>
        </is>
      </c>
      <c r="G25" s="4" t="n">
        <v>29913.65</v>
      </c>
      <c r="H25" s="4">
        <f>MAX(0,G25-SUMIFS('Paiements contrat'!$B:$B,'Paiements contrat'!$A:$A,A25))</f>
        <v/>
      </c>
      <c r="I25" s="4" t="n">
        <v>8391.310000000001</v>
      </c>
      <c r="J25" t="inlineStr">
        <is>
          <t>actif</t>
        </is>
      </c>
    </row>
    <row r="26">
      <c r="A26" t="inlineStr">
        <is>
          <t>CTR-00025</t>
        </is>
      </c>
      <c r="B26" t="inlineStr">
        <is>
          <t>CLI-01126</t>
        </is>
      </c>
      <c r="C26" t="inlineStr">
        <is>
          <t>Guyane</t>
        </is>
      </c>
      <c r="D26" t="inlineStr">
        <is>
          <t>materiel</t>
        </is>
      </c>
      <c r="E26" t="inlineStr">
        <is>
          <t>crédit-bail</t>
        </is>
      </c>
      <c r="F26" t="inlineStr">
        <is>
          <t>2024-05-26</t>
        </is>
      </c>
      <c r="G26" s="4" t="n">
        <v>39296.63</v>
      </c>
      <c r="H26" s="4">
        <f>MAX(0,G26-SUMIFS('Paiements contrat'!$B:$B,'Paiements contrat'!$A:$A,A26))</f>
        <v/>
      </c>
      <c r="I26" s="4" t="n">
        <v>21414.28</v>
      </c>
      <c r="J26" t="inlineStr">
        <is>
          <t>actif</t>
        </is>
      </c>
    </row>
    <row r="27">
      <c r="A27" t="inlineStr">
        <is>
          <t>CTR-00026</t>
        </is>
      </c>
      <c r="B27" t="inlineStr">
        <is>
          <t>CLI-00078</t>
        </is>
      </c>
      <c r="C27" t="inlineStr">
        <is>
          <t>Réunion</t>
        </is>
      </c>
      <c r="D27" t="inlineStr">
        <is>
          <t>auto</t>
        </is>
      </c>
      <c r="E27" t="inlineStr">
        <is>
          <t>LOA</t>
        </is>
      </c>
      <c r="F27" t="inlineStr">
        <is>
          <t>2025-06-18</t>
        </is>
      </c>
      <c r="G27" s="4" t="n">
        <v>17037.58</v>
      </c>
      <c r="H27" s="4">
        <f>MAX(0,G27-SUMIFS('Paiements contrat'!$B:$B,'Paiements contrat'!$A:$A,A27))</f>
        <v/>
      </c>
      <c r="I27" s="4" t="n">
        <v>10852.25</v>
      </c>
      <c r="J27" t="inlineStr">
        <is>
          <t>actif</t>
        </is>
      </c>
    </row>
    <row r="28">
      <c r="A28" t="inlineStr">
        <is>
          <t>CTR-00027</t>
        </is>
      </c>
      <c r="B28" t="inlineStr">
        <is>
          <t>CLI-01075</t>
        </is>
      </c>
      <c r="C28" t="inlineStr">
        <is>
          <t>Île-de-France</t>
        </is>
      </c>
      <c r="D28" t="inlineStr">
        <is>
          <t>materiel</t>
        </is>
      </c>
      <c r="E28" t="inlineStr">
        <is>
          <t>crédit-bail</t>
        </is>
      </c>
      <c r="F28" t="inlineStr">
        <is>
          <t>2026-02-25</t>
        </is>
      </c>
      <c r="G28" s="4" t="n">
        <v>98362.3</v>
      </c>
      <c r="H28" s="4">
        <f>MAX(0,G28-SUMIFS('Paiements contrat'!$B:$B,'Paiements contrat'!$A:$A,A28))</f>
        <v/>
      </c>
      <c r="I28" s="4" t="n">
        <v>93020.32000000001</v>
      </c>
      <c r="J28" t="inlineStr">
        <is>
          <t>actif</t>
        </is>
      </c>
    </row>
    <row r="29">
      <c r="A29" t="inlineStr">
        <is>
          <t>CTR-00028</t>
        </is>
      </c>
      <c r="B29" t="inlineStr">
        <is>
          <t>CLI-00512</t>
        </is>
      </c>
      <c r="C29" t="inlineStr">
        <is>
          <t>Île-de-France</t>
        </is>
      </c>
      <c r="D29" t="inlineStr">
        <is>
          <t>auto</t>
        </is>
      </c>
      <c r="E29" t="inlineStr">
        <is>
          <t>LOA</t>
        </is>
      </c>
      <c r="F29" t="inlineStr">
        <is>
          <t>2025-10-26</t>
        </is>
      </c>
      <c r="G29" s="4" t="n">
        <v>66083.36</v>
      </c>
      <c r="H29" s="4">
        <f>MAX(0,G29-SUMIFS('Paiements contrat'!$B:$B,'Paiements contrat'!$A:$A,A29))</f>
        <v/>
      </c>
      <c r="I29" s="4" t="n">
        <v>52613.67</v>
      </c>
      <c r="J29" t="inlineStr">
        <is>
          <t>actif</t>
        </is>
      </c>
    </row>
    <row r="30">
      <c r="A30" t="inlineStr">
        <is>
          <t>CTR-00029</t>
        </is>
      </c>
      <c r="B30" t="inlineStr">
        <is>
          <t>CLI-00909</t>
        </is>
      </c>
      <c r="C30" t="inlineStr">
        <is>
          <t>Île-de-France</t>
        </is>
      </c>
      <c r="D30" t="inlineStr">
        <is>
          <t>materiel</t>
        </is>
      </c>
      <c r="E30" t="inlineStr">
        <is>
          <t>crédit-bail</t>
        </is>
      </c>
      <c r="F30" t="inlineStr">
        <is>
          <t>2025-06-08</t>
        </is>
      </c>
      <c r="G30" s="4" t="n">
        <v>26898.26</v>
      </c>
      <c r="H30" s="4">
        <f>MAX(0,G30-SUMIFS('Paiements contrat'!$B:$B,'Paiements contrat'!$A:$A,A30))</f>
        <v/>
      </c>
      <c r="I30" s="4" t="n">
        <v>18279.38</v>
      </c>
      <c r="J30" t="inlineStr">
        <is>
          <t>actif</t>
        </is>
      </c>
    </row>
    <row r="31">
      <c r="A31" t="inlineStr">
        <is>
          <t>CTR-00030</t>
        </is>
      </c>
      <c r="B31" t="inlineStr">
        <is>
          <t>CLI-01302</t>
        </is>
      </c>
      <c r="C31" t="inlineStr">
        <is>
          <t>Martinique</t>
        </is>
      </c>
      <c r="D31" t="inlineStr">
        <is>
          <t>bateau</t>
        </is>
      </c>
      <c r="E31" t="inlineStr">
        <is>
          <t>LOA</t>
        </is>
      </c>
      <c r="F31" t="inlineStr">
        <is>
          <t>2025-09-01</t>
        </is>
      </c>
      <c r="G31" s="4" t="n">
        <v>233426.31</v>
      </c>
      <c r="H31" s="4">
        <f>MAX(0,G31-SUMIFS('Paiements contrat'!$B:$B,'Paiements contrat'!$A:$A,A31))</f>
        <v/>
      </c>
      <c r="I31" s="4" t="n">
        <v>189257.63</v>
      </c>
      <c r="J31" t="inlineStr">
        <is>
          <t>actif</t>
        </is>
      </c>
    </row>
    <row r="32">
      <c r="A32" t="inlineStr">
        <is>
          <t>CTR-00031</t>
        </is>
      </c>
      <c r="B32" t="inlineStr">
        <is>
          <t>CLI-00905</t>
        </is>
      </c>
      <c r="C32" t="inlineStr">
        <is>
          <t>Île-de-France</t>
        </is>
      </c>
      <c r="D32" t="inlineStr">
        <is>
          <t>auto</t>
        </is>
      </c>
      <c r="E32" t="inlineStr">
        <is>
          <t>LLD</t>
        </is>
      </c>
      <c r="F32" t="inlineStr">
        <is>
          <t>2025-07-19</t>
        </is>
      </c>
      <c r="G32" s="4" t="n">
        <v>40314.77</v>
      </c>
      <c r="H32" s="4">
        <f>MAX(0,G32-SUMIFS('Paiements contrat'!$B:$B,'Paiements contrat'!$A:$A,A32))</f>
        <v/>
      </c>
      <c r="I32" s="4" t="n">
        <v>29810.74363530835</v>
      </c>
      <c r="J32" t="inlineStr">
        <is>
          <t>actif</t>
        </is>
      </c>
    </row>
    <row r="33">
      <c r="A33" t="inlineStr">
        <is>
          <t>CTR-00032</t>
        </is>
      </c>
      <c r="B33" t="inlineStr">
        <is>
          <t>CLI-00593</t>
        </is>
      </c>
      <c r="C33" t="inlineStr">
        <is>
          <t>Île-de-France</t>
        </is>
      </c>
      <c r="D33" t="inlineStr">
        <is>
          <t>auto</t>
        </is>
      </c>
      <c r="E33" t="inlineStr">
        <is>
          <t>LOA</t>
        </is>
      </c>
      <c r="F33" t="inlineStr">
        <is>
          <t>2024-07-15</t>
        </is>
      </c>
      <c r="G33" s="4" t="n">
        <v>57285.24</v>
      </c>
      <c r="H33" s="4">
        <f>MAX(0,G33-SUMIFS('Paiements contrat'!$B:$B,'Paiements contrat'!$A:$A,A33))</f>
        <v/>
      </c>
      <c r="I33" s="4" t="n">
        <v>35834.47318458417</v>
      </c>
      <c r="J33" t="inlineStr">
        <is>
          <t>actif</t>
        </is>
      </c>
    </row>
    <row r="34">
      <c r="A34" t="inlineStr">
        <is>
          <t>CTR-00033</t>
        </is>
      </c>
      <c r="B34" t="inlineStr">
        <is>
          <t>CLI-00362</t>
        </is>
      </c>
      <c r="C34" t="inlineStr">
        <is>
          <t>Île-de-France</t>
        </is>
      </c>
      <c r="D34" t="inlineStr">
        <is>
          <t>auto</t>
        </is>
      </c>
      <c r="E34" t="inlineStr">
        <is>
          <t>LOA</t>
        </is>
      </c>
      <c r="F34" t="inlineStr">
        <is>
          <t>2025-09-05</t>
        </is>
      </c>
      <c r="G34" s="4" t="n">
        <v>64037.57</v>
      </c>
      <c r="H34" s="4">
        <f>MAX(0,G34-SUMIFS('Paiements contrat'!$B:$B,'Paiements contrat'!$A:$A,A34))</f>
        <v/>
      </c>
      <c r="I34" s="4" t="n">
        <v>55920.61</v>
      </c>
      <c r="J34" t="inlineStr">
        <is>
          <t>actif</t>
        </is>
      </c>
    </row>
    <row r="35">
      <c r="A35" t="inlineStr">
        <is>
          <t>CTR-00034</t>
        </is>
      </c>
      <c r="B35" t="inlineStr">
        <is>
          <t>CLI-01059</t>
        </is>
      </c>
      <c r="C35" t="inlineStr">
        <is>
          <t>Île-de-France</t>
        </is>
      </c>
      <c r="D35" t="inlineStr">
        <is>
          <t>auto</t>
        </is>
      </c>
      <c r="E35" t="inlineStr">
        <is>
          <t>LOA</t>
        </is>
      </c>
      <c r="F35" t="inlineStr">
        <is>
          <t>2026-01-17</t>
        </is>
      </c>
      <c r="G35" s="4" t="n">
        <v>40767.83</v>
      </c>
      <c r="H35" s="4">
        <f>MAX(0,G35-SUMIFS('Paiements contrat'!$B:$B,'Paiements contrat'!$A:$A,A35))</f>
        <v/>
      </c>
      <c r="I35" s="4" t="n">
        <v>37455.09</v>
      </c>
      <c r="J35" t="inlineStr">
        <is>
          <t>actif</t>
        </is>
      </c>
    </row>
    <row r="36">
      <c r="A36" t="inlineStr">
        <is>
          <t>CTR-00035</t>
        </is>
      </c>
      <c r="B36" t="inlineStr">
        <is>
          <t>CLI-00521</t>
        </is>
      </c>
      <c r="C36" t="inlineStr">
        <is>
          <t>Île-de-France</t>
        </is>
      </c>
      <c r="D36" t="inlineStr">
        <is>
          <t>materiel</t>
        </is>
      </c>
      <c r="E36" t="inlineStr">
        <is>
          <t>crédit-bail</t>
        </is>
      </c>
      <c r="F36" t="inlineStr">
        <is>
          <t>2026-03-15</t>
        </is>
      </c>
      <c r="G36" s="4" t="n">
        <v>140575.75</v>
      </c>
      <c r="H36" s="4">
        <f>MAX(0,G36-SUMIFS('Paiements contrat'!$B:$B,'Paiements contrat'!$A:$A,A36))</f>
        <v/>
      </c>
      <c r="I36" s="4" t="n">
        <v>140575.75</v>
      </c>
      <c r="J36" t="inlineStr">
        <is>
          <t>actif</t>
        </is>
      </c>
    </row>
    <row r="37">
      <c r="A37" t="inlineStr">
        <is>
          <t>CTR-00036</t>
        </is>
      </c>
      <c r="B37" t="inlineStr">
        <is>
          <t>CLI-00545</t>
        </is>
      </c>
      <c r="C37" t="inlineStr">
        <is>
          <t>Île-de-France</t>
        </is>
      </c>
      <c r="D37" t="inlineStr">
        <is>
          <t>materiel</t>
        </is>
      </c>
      <c r="E37" t="inlineStr">
        <is>
          <t>crédit-bail</t>
        </is>
      </c>
      <c r="F37" t="inlineStr">
        <is>
          <t>2024-11-15</t>
        </is>
      </c>
      <c r="G37" s="4" t="n">
        <v>148458.95</v>
      </c>
      <c r="H37" s="4">
        <f>MAX(0,G37-SUMIFS('Paiements contrat'!$B:$B,'Paiements contrat'!$A:$A,A37))</f>
        <v/>
      </c>
      <c r="I37" s="4" t="n">
        <v>117176.7889365702</v>
      </c>
      <c r="J37" t="inlineStr">
        <is>
          <t>actif</t>
        </is>
      </c>
    </row>
    <row r="38">
      <c r="A38" t="inlineStr">
        <is>
          <t>CTR-00037</t>
        </is>
      </c>
      <c r="B38" t="inlineStr">
        <is>
          <t>CLI-00476</t>
        </is>
      </c>
      <c r="C38" t="inlineStr">
        <is>
          <t>Île-de-France</t>
        </is>
      </c>
      <c r="D38" t="inlineStr">
        <is>
          <t>auto</t>
        </is>
      </c>
      <c r="E38" t="inlineStr">
        <is>
          <t>LOA</t>
        </is>
      </c>
      <c r="F38" t="inlineStr">
        <is>
          <t>2025-11-07</t>
        </is>
      </c>
      <c r="G38" s="4" t="n">
        <v>42545.02</v>
      </c>
      <c r="H38" s="4">
        <f>MAX(0,G38-SUMIFS('Paiements contrat'!$B:$B,'Paiements contrat'!$A:$A,A38))</f>
        <v/>
      </c>
      <c r="I38" s="4" t="n">
        <v>35828.1</v>
      </c>
      <c r="J38" t="inlineStr">
        <is>
          <t>actif</t>
        </is>
      </c>
    </row>
    <row r="39">
      <c r="A39" t="inlineStr">
        <is>
          <t>CTR-00038</t>
        </is>
      </c>
      <c r="B39" t="inlineStr">
        <is>
          <t>CLI-00442</t>
        </is>
      </c>
      <c r="C39" t="inlineStr">
        <is>
          <t>Île-de-France</t>
        </is>
      </c>
      <c r="D39" t="inlineStr">
        <is>
          <t>bateau</t>
        </is>
      </c>
      <c r="E39" t="inlineStr">
        <is>
          <t>LOA</t>
        </is>
      </c>
      <c r="F39" t="inlineStr">
        <is>
          <t>2025-01-17</t>
        </is>
      </c>
      <c r="G39" s="4" t="n">
        <v>99215.55</v>
      </c>
      <c r="H39" s="4">
        <f>MAX(0,G39-SUMIFS('Paiements contrat'!$B:$B,'Paiements contrat'!$A:$A,A39))</f>
        <v/>
      </c>
      <c r="I39" s="4" t="n">
        <v>77525.53</v>
      </c>
      <c r="J39" t="inlineStr">
        <is>
          <t>actif</t>
        </is>
      </c>
    </row>
    <row r="40">
      <c r="A40" t="inlineStr">
        <is>
          <t>CTR-00039</t>
        </is>
      </c>
      <c r="B40" t="inlineStr">
        <is>
          <t>CLI-00294</t>
        </is>
      </c>
      <c r="C40" t="inlineStr">
        <is>
          <t>Île-de-France</t>
        </is>
      </c>
      <c r="D40" t="inlineStr">
        <is>
          <t>auto</t>
        </is>
      </c>
      <c r="E40" t="inlineStr">
        <is>
          <t>LOA</t>
        </is>
      </c>
      <c r="F40" t="inlineStr">
        <is>
          <t>2024-05-19</t>
        </is>
      </c>
      <c r="G40" s="4" t="n">
        <v>43212.84</v>
      </c>
      <c r="H40" s="4">
        <f>MAX(0,G40-SUMIFS('Paiements contrat'!$B:$B,'Paiements contrat'!$A:$A,A40))</f>
        <v/>
      </c>
      <c r="I40" s="4" t="n">
        <v>19588.53</v>
      </c>
      <c r="J40" t="inlineStr">
        <is>
          <t>actif</t>
        </is>
      </c>
    </row>
    <row r="41">
      <c r="A41" t="inlineStr">
        <is>
          <t>CTR-00040</t>
        </is>
      </c>
      <c r="B41" t="inlineStr">
        <is>
          <t>CLI-01337</t>
        </is>
      </c>
      <c r="C41" t="inlineStr">
        <is>
          <t>Réunion</t>
        </is>
      </c>
      <c r="D41" t="inlineStr">
        <is>
          <t>materiel</t>
        </is>
      </c>
      <c r="E41" t="inlineStr">
        <is>
          <t>crédit-bail</t>
        </is>
      </c>
      <c r="F41" t="inlineStr">
        <is>
          <t>2025-06-01</t>
        </is>
      </c>
      <c r="G41" s="4" t="n">
        <v>101061.51</v>
      </c>
      <c r="H41" s="4">
        <f>MAX(0,G41-SUMIFS('Paiements contrat'!$B:$B,'Paiements contrat'!$A:$A,A41))</f>
        <v/>
      </c>
      <c r="I41" s="4" t="n">
        <v>37242.14642453078</v>
      </c>
      <c r="J41" t="inlineStr">
        <is>
          <t>actif</t>
        </is>
      </c>
    </row>
    <row r="42">
      <c r="A42" t="inlineStr">
        <is>
          <t>CTR-00041</t>
        </is>
      </c>
      <c r="B42" t="inlineStr">
        <is>
          <t>CLI-00251</t>
        </is>
      </c>
      <c r="C42" t="inlineStr">
        <is>
          <t>Martinique</t>
        </is>
      </c>
      <c r="D42" t="inlineStr">
        <is>
          <t>auto</t>
        </is>
      </c>
      <c r="E42" t="inlineStr">
        <is>
          <t>LOA</t>
        </is>
      </c>
      <c r="F42" t="inlineStr">
        <is>
          <t>2025-12-26</t>
        </is>
      </c>
      <c r="G42" s="4" t="n">
        <v>65953.38</v>
      </c>
      <c r="H42" s="4">
        <f>MAX(0,G42-SUMIFS('Paiements contrat'!$B:$B,'Paiements contrat'!$A:$A,A42))</f>
        <v/>
      </c>
      <c r="I42" s="4" t="n">
        <v>63606.84</v>
      </c>
      <c r="J42" t="inlineStr">
        <is>
          <t>actif</t>
        </is>
      </c>
    </row>
    <row r="43">
      <c r="A43" t="inlineStr">
        <is>
          <t>CTR-00042</t>
        </is>
      </c>
      <c r="B43" t="inlineStr">
        <is>
          <t>CLI-00591</t>
        </is>
      </c>
      <c r="C43" t="inlineStr">
        <is>
          <t>Martinique</t>
        </is>
      </c>
      <c r="D43" t="inlineStr">
        <is>
          <t>auto</t>
        </is>
      </c>
      <c r="E43" t="inlineStr">
        <is>
          <t>LLD</t>
        </is>
      </c>
      <c r="F43" t="inlineStr">
        <is>
          <t>2025-11-25</t>
        </is>
      </c>
      <c r="G43" s="4" t="n">
        <v>38685.22</v>
      </c>
      <c r="H43" s="4">
        <f>MAX(0,G43-SUMIFS('Paiements contrat'!$B:$B,'Paiements contrat'!$A:$A,A43))</f>
        <v/>
      </c>
      <c r="I43" s="4" t="n">
        <v>33482.9779761749</v>
      </c>
      <c r="J43" t="inlineStr">
        <is>
          <t>actif</t>
        </is>
      </c>
    </row>
    <row r="44">
      <c r="A44" t="inlineStr">
        <is>
          <t>CTR-00043</t>
        </is>
      </c>
      <c r="B44" t="inlineStr">
        <is>
          <t>CLI-00773</t>
        </is>
      </c>
      <c r="C44" t="inlineStr">
        <is>
          <t>Île-de-France</t>
        </is>
      </c>
      <c r="D44" t="inlineStr">
        <is>
          <t>materiel</t>
        </is>
      </c>
      <c r="E44" t="inlineStr">
        <is>
          <t>crédit-bail</t>
        </is>
      </c>
      <c r="F44" t="inlineStr">
        <is>
          <t>2025-01-19</t>
        </is>
      </c>
      <c r="G44" s="4" t="n">
        <v>16250.33</v>
      </c>
      <c r="H44" s="4">
        <f>MAX(0,G44-SUMIFS('Paiements contrat'!$B:$B,'Paiements contrat'!$A:$A,A44))</f>
        <v/>
      </c>
      <c r="I44" s="4" t="n">
        <v>12345.43</v>
      </c>
      <c r="J44" t="inlineStr">
        <is>
          <t>actif</t>
        </is>
      </c>
    </row>
    <row r="45">
      <c r="A45" t="inlineStr">
        <is>
          <t>CTR-00044</t>
        </is>
      </c>
      <c r="B45" t="inlineStr">
        <is>
          <t>CLI-01063</t>
        </is>
      </c>
      <c r="C45" t="inlineStr">
        <is>
          <t>Guyane</t>
        </is>
      </c>
      <c r="D45" t="inlineStr">
        <is>
          <t>auto</t>
        </is>
      </c>
      <c r="E45" t="inlineStr">
        <is>
          <t>LOA</t>
        </is>
      </c>
      <c r="F45" t="inlineStr">
        <is>
          <t>2024-08-22</t>
        </is>
      </c>
      <c r="G45" s="4" t="n">
        <v>16803.07</v>
      </c>
      <c r="H45" s="4">
        <f>MAX(0,G45-SUMIFS('Paiements contrat'!$B:$B,'Paiements contrat'!$A:$A,A45))</f>
        <v/>
      </c>
      <c r="I45" s="4" t="n">
        <v>9547.379318331461</v>
      </c>
      <c r="J45" t="inlineStr">
        <is>
          <t>actif</t>
        </is>
      </c>
    </row>
    <row r="46">
      <c r="A46" t="inlineStr">
        <is>
          <t>CTR-00045</t>
        </is>
      </c>
      <c r="B46" t="inlineStr">
        <is>
          <t>CLI-00072</t>
        </is>
      </c>
      <c r="C46" t="inlineStr">
        <is>
          <t>Île-de-France</t>
        </is>
      </c>
      <c r="D46" t="inlineStr">
        <is>
          <t>auto</t>
        </is>
      </c>
      <c r="E46" t="inlineStr">
        <is>
          <t>LOA</t>
        </is>
      </c>
      <c r="F46" t="inlineStr">
        <is>
          <t>2025-10-12</t>
        </is>
      </c>
      <c r="G46" s="4" t="n">
        <v>36369.94</v>
      </c>
      <c r="H46" s="4">
        <f>MAX(0,G46-SUMIFS('Paiements contrat'!$B:$B,'Paiements contrat'!$A:$A,A46))</f>
        <v/>
      </c>
      <c r="I46" s="4" t="n">
        <v>30683.45</v>
      </c>
      <c r="J46" t="inlineStr">
        <is>
          <t>actif</t>
        </is>
      </c>
    </row>
    <row r="47">
      <c r="A47" t="inlineStr">
        <is>
          <t>CTR-00046</t>
        </is>
      </c>
      <c r="B47" t="inlineStr">
        <is>
          <t>CLI-00422</t>
        </is>
      </c>
      <c r="C47" t="inlineStr">
        <is>
          <t>Île-de-France</t>
        </is>
      </c>
      <c r="D47" t="inlineStr">
        <is>
          <t>materiel</t>
        </is>
      </c>
      <c r="E47" t="inlineStr">
        <is>
          <t>crédit-bail</t>
        </is>
      </c>
      <c r="F47" t="inlineStr">
        <is>
          <t>2025-10-09</t>
        </is>
      </c>
      <c r="G47" s="4" t="n">
        <v>12187.26</v>
      </c>
      <c r="H47" s="4">
        <f>MAX(0,G47-SUMIFS('Paiements contrat'!$B:$B,'Paiements contrat'!$A:$A,A47))</f>
        <v/>
      </c>
      <c r="I47" s="4" t="n">
        <v>9795.310000000001</v>
      </c>
      <c r="J47" t="inlineStr">
        <is>
          <t>actif</t>
        </is>
      </c>
    </row>
    <row r="48">
      <c r="A48" t="inlineStr">
        <is>
          <t>CTR-00047</t>
        </is>
      </c>
      <c r="B48" t="inlineStr">
        <is>
          <t>CLI-01025</t>
        </is>
      </c>
      <c r="C48" t="inlineStr">
        <is>
          <t>Guyane</t>
        </is>
      </c>
      <c r="D48" t="inlineStr">
        <is>
          <t>auto</t>
        </is>
      </c>
      <c r="E48" t="inlineStr">
        <is>
          <t>LLD</t>
        </is>
      </c>
      <c r="F48" t="inlineStr">
        <is>
          <t>2025-10-15</t>
        </is>
      </c>
      <c r="G48" s="4" t="n">
        <v>35263.46</v>
      </c>
      <c r="H48" s="4">
        <f>MAX(0,G48-SUMIFS('Paiements contrat'!$B:$B,'Paiements contrat'!$A:$A,A48))</f>
        <v/>
      </c>
      <c r="I48" s="4" t="n">
        <v>29697.47</v>
      </c>
      <c r="J48" t="inlineStr">
        <is>
          <t>actif</t>
        </is>
      </c>
    </row>
    <row r="49">
      <c r="A49" t="inlineStr">
        <is>
          <t>CTR-00048</t>
        </is>
      </c>
      <c r="B49" t="inlineStr">
        <is>
          <t>CLI-00434</t>
        </is>
      </c>
      <c r="C49" t="inlineStr">
        <is>
          <t>Réunion</t>
        </is>
      </c>
      <c r="D49" t="inlineStr">
        <is>
          <t>auto</t>
        </is>
      </c>
      <c r="E49" t="inlineStr">
        <is>
          <t>LLD</t>
        </is>
      </c>
      <c r="F49" t="inlineStr">
        <is>
          <t>2025-11-10</t>
        </is>
      </c>
      <c r="G49" s="4" t="n">
        <v>35267.51</v>
      </c>
      <c r="H49" s="4">
        <f>MAX(0,G49-SUMIFS('Paiements contrat'!$B:$B,'Paiements contrat'!$A:$A,A49))</f>
        <v/>
      </c>
      <c r="I49" s="4" t="n">
        <v>33339.67</v>
      </c>
      <c r="J49" t="inlineStr">
        <is>
          <t>actif</t>
        </is>
      </c>
    </row>
    <row r="50">
      <c r="A50" t="inlineStr">
        <is>
          <t>CTR-00049</t>
        </is>
      </c>
      <c r="B50" t="inlineStr">
        <is>
          <t>CLI-01006</t>
        </is>
      </c>
      <c r="C50" t="inlineStr">
        <is>
          <t>Île-de-France</t>
        </is>
      </c>
      <c r="D50" t="inlineStr">
        <is>
          <t>auto</t>
        </is>
      </c>
      <c r="E50" t="inlineStr">
        <is>
          <t>LOA</t>
        </is>
      </c>
      <c r="F50" t="inlineStr">
        <is>
          <t>2025-06-08</t>
        </is>
      </c>
      <c r="G50" s="4" t="n">
        <v>33431.51</v>
      </c>
      <c r="H50" s="4">
        <f>MAX(0,G50-SUMIFS('Paiements contrat'!$B:$B,'Paiements contrat'!$A:$A,A50))</f>
        <v/>
      </c>
      <c r="I50" s="4" t="n">
        <v>21268.82</v>
      </c>
      <c r="J50" t="inlineStr">
        <is>
          <t>actif</t>
        </is>
      </c>
    </row>
    <row r="51">
      <c r="A51" t="inlineStr">
        <is>
          <t>CTR-00050</t>
        </is>
      </c>
      <c r="B51" t="inlineStr">
        <is>
          <t>CLI-01447</t>
        </is>
      </c>
      <c r="C51" t="inlineStr">
        <is>
          <t>Île-de-France</t>
        </is>
      </c>
      <c r="D51" t="inlineStr">
        <is>
          <t>auto</t>
        </is>
      </c>
      <c r="E51" t="inlineStr">
        <is>
          <t>LOA</t>
        </is>
      </c>
      <c r="F51" t="inlineStr">
        <is>
          <t>2025-12-15</t>
        </is>
      </c>
      <c r="G51" s="4" t="n">
        <v>34021.81</v>
      </c>
      <c r="H51" s="4">
        <f>MAX(0,G51-SUMIFS('Paiements contrat'!$B:$B,'Paiements contrat'!$A:$A,A51))</f>
        <v/>
      </c>
      <c r="I51" s="4" t="n">
        <v>32094.24</v>
      </c>
      <c r="J51" t="inlineStr">
        <is>
          <t>contentieux</t>
        </is>
      </c>
    </row>
    <row r="52">
      <c r="A52" t="inlineStr">
        <is>
          <t>CTR-00051</t>
        </is>
      </c>
      <c r="B52" t="inlineStr">
        <is>
          <t>CLI-00758</t>
        </is>
      </c>
      <c r="C52" t="inlineStr">
        <is>
          <t>Île-de-France</t>
        </is>
      </c>
      <c r="D52" t="inlineStr">
        <is>
          <t>auto</t>
        </is>
      </c>
      <c r="E52" t="inlineStr">
        <is>
          <t>LLD</t>
        </is>
      </c>
      <c r="F52" t="inlineStr">
        <is>
          <t>2024-09-22</t>
        </is>
      </c>
      <c r="G52" s="4" t="n">
        <v>58777.62</v>
      </c>
      <c r="H52" s="4">
        <f>MAX(0,G52-SUMIFS('Paiements contrat'!$B:$B,'Paiements contrat'!$A:$A,A52))</f>
        <v/>
      </c>
      <c r="I52" s="4" t="n">
        <v>42827.08943329955</v>
      </c>
      <c r="J52" t="inlineStr">
        <is>
          <t>actif</t>
        </is>
      </c>
    </row>
    <row r="53">
      <c r="A53" t="inlineStr">
        <is>
          <t>CTR-00052</t>
        </is>
      </c>
      <c r="B53" t="inlineStr">
        <is>
          <t>CLI-00921</t>
        </is>
      </c>
      <c r="C53" t="inlineStr">
        <is>
          <t>Île-de-France</t>
        </is>
      </c>
      <c r="D53" t="inlineStr">
        <is>
          <t>auto</t>
        </is>
      </c>
      <c r="E53" t="inlineStr">
        <is>
          <t>LLD</t>
        </is>
      </c>
      <c r="F53" t="inlineStr">
        <is>
          <t>2025-06-10</t>
        </is>
      </c>
      <c r="G53" s="4" t="n">
        <v>11308.9</v>
      </c>
      <c r="H53" s="4">
        <f>MAX(0,G53-SUMIFS('Paiements contrat'!$B:$B,'Paiements contrat'!$A:$A,A53))</f>
        <v/>
      </c>
      <c r="I53" s="4" t="n">
        <v>9839.629999999999</v>
      </c>
      <c r="J53" t="inlineStr">
        <is>
          <t>actif</t>
        </is>
      </c>
    </row>
    <row r="54">
      <c r="A54" t="inlineStr">
        <is>
          <t>CTR-00053</t>
        </is>
      </c>
      <c r="B54" t="inlineStr">
        <is>
          <t>CLI-00917</t>
        </is>
      </c>
      <c r="C54" t="inlineStr">
        <is>
          <t>Île-de-France</t>
        </is>
      </c>
      <c r="D54" t="inlineStr">
        <is>
          <t>auto</t>
        </is>
      </c>
      <c r="E54" t="inlineStr">
        <is>
          <t>LLD</t>
        </is>
      </c>
      <c r="F54" t="inlineStr">
        <is>
          <t>2025-04-24</t>
        </is>
      </c>
      <c r="G54" s="4" t="n">
        <v>34500.16</v>
      </c>
      <c r="H54" s="4">
        <f>MAX(0,G54-SUMIFS('Paiements contrat'!$B:$B,'Paiements contrat'!$A:$A,A54))</f>
        <v/>
      </c>
      <c r="I54" s="4" t="n">
        <v>21853.05</v>
      </c>
      <c r="J54" t="inlineStr">
        <is>
          <t>actif</t>
        </is>
      </c>
    </row>
    <row r="55">
      <c r="A55" t="inlineStr">
        <is>
          <t>CTR-00054</t>
        </is>
      </c>
      <c r="B55" t="inlineStr">
        <is>
          <t>CLI-01426</t>
        </is>
      </c>
      <c r="C55" t="inlineStr">
        <is>
          <t>Guadeloupe</t>
        </is>
      </c>
      <c r="D55" t="inlineStr">
        <is>
          <t>bateau</t>
        </is>
      </c>
      <c r="E55" t="inlineStr">
        <is>
          <t>LOA</t>
        </is>
      </c>
      <c r="F55" t="inlineStr">
        <is>
          <t>2024-10-20</t>
        </is>
      </c>
      <c r="G55" s="4" t="n">
        <v>115631.05</v>
      </c>
      <c r="H55" s="4">
        <f>MAX(0,G55-SUMIFS('Paiements contrat'!$B:$B,'Paiements contrat'!$A:$A,A55))</f>
        <v/>
      </c>
      <c r="I55" s="4" t="n">
        <v>35304.41</v>
      </c>
      <c r="J55" t="inlineStr">
        <is>
          <t>actif</t>
        </is>
      </c>
    </row>
    <row r="56">
      <c r="A56" t="inlineStr">
        <is>
          <t>CTR-00055</t>
        </is>
      </c>
      <c r="B56" t="inlineStr">
        <is>
          <t>CLI-01294</t>
        </is>
      </c>
      <c r="C56" t="inlineStr">
        <is>
          <t>Guadeloupe</t>
        </is>
      </c>
      <c r="D56" t="inlineStr">
        <is>
          <t>auto</t>
        </is>
      </c>
      <c r="E56" t="inlineStr">
        <is>
          <t>LOA</t>
        </is>
      </c>
      <c r="F56" t="inlineStr">
        <is>
          <t>2025-11-24</t>
        </is>
      </c>
      <c r="G56" s="4" t="n">
        <v>69358.83</v>
      </c>
      <c r="H56" s="4">
        <f>MAX(0,G56-SUMIFS('Paiements contrat'!$B:$B,'Paiements contrat'!$A:$A,A56))</f>
        <v/>
      </c>
      <c r="I56" s="4" t="n">
        <v>66507.47</v>
      </c>
      <c r="J56" t="inlineStr">
        <is>
          <t>actif</t>
        </is>
      </c>
    </row>
    <row r="57">
      <c r="A57" t="inlineStr">
        <is>
          <t>CTR-00056</t>
        </is>
      </c>
      <c r="B57" t="inlineStr">
        <is>
          <t>CLI-01268</t>
        </is>
      </c>
      <c r="C57" t="inlineStr">
        <is>
          <t>Île-de-France</t>
        </is>
      </c>
      <c r="D57" t="inlineStr">
        <is>
          <t>auto</t>
        </is>
      </c>
      <c r="E57" t="inlineStr">
        <is>
          <t>LOA</t>
        </is>
      </c>
      <c r="F57" t="inlineStr">
        <is>
          <t>2024-10-03</t>
        </is>
      </c>
      <c r="G57" s="4" t="n">
        <v>17491.53</v>
      </c>
      <c r="H57" s="4">
        <f>MAX(0,G57-SUMIFS('Paiements contrat'!$B:$B,'Paiements contrat'!$A:$A,A57))</f>
        <v/>
      </c>
      <c r="I57" s="4" t="n">
        <v>10104.29585774515</v>
      </c>
      <c r="J57" t="inlineStr">
        <is>
          <t>actif</t>
        </is>
      </c>
    </row>
    <row r="58">
      <c r="A58" t="inlineStr">
        <is>
          <t>CTR-00057</t>
        </is>
      </c>
      <c r="B58" t="inlineStr">
        <is>
          <t>CLI-00268</t>
        </is>
      </c>
      <c r="C58" t="inlineStr">
        <is>
          <t>Île-de-France</t>
        </is>
      </c>
      <c r="D58" t="inlineStr">
        <is>
          <t>bateau</t>
        </is>
      </c>
      <c r="E58" t="inlineStr">
        <is>
          <t>LOA</t>
        </is>
      </c>
      <c r="F58" t="inlineStr">
        <is>
          <t>2026-02-20</t>
        </is>
      </c>
      <c r="G58" s="4" t="n">
        <v>243425.66</v>
      </c>
      <c r="H58" s="4">
        <f>MAX(0,G58-SUMIFS('Paiements contrat'!$B:$B,'Paiements contrat'!$A:$A,A58))</f>
        <v/>
      </c>
      <c r="I58" s="4" t="n">
        <v>237310.76</v>
      </c>
      <c r="J58" t="inlineStr">
        <is>
          <t>actif</t>
        </is>
      </c>
    </row>
    <row r="59">
      <c r="A59" t="inlineStr">
        <is>
          <t>CTR-00058</t>
        </is>
      </c>
      <c r="B59" t="inlineStr">
        <is>
          <t>CLI-01390</t>
        </is>
      </c>
      <c r="C59" t="inlineStr">
        <is>
          <t>Île-de-France</t>
        </is>
      </c>
      <c r="D59" t="inlineStr">
        <is>
          <t>auto</t>
        </is>
      </c>
      <c r="E59" t="inlineStr">
        <is>
          <t>LLD</t>
        </is>
      </c>
      <c r="F59" t="inlineStr">
        <is>
          <t>2025-06-20</t>
        </is>
      </c>
      <c r="G59" s="4" t="n">
        <v>63920.34</v>
      </c>
      <c r="H59" s="4">
        <f>MAX(0,G59-SUMIFS('Paiements contrat'!$B:$B,'Paiements contrat'!$A:$A,A59))</f>
        <v/>
      </c>
      <c r="I59" s="4" t="n">
        <v>55470.64</v>
      </c>
      <c r="J59" t="inlineStr">
        <is>
          <t>actif</t>
        </is>
      </c>
    </row>
    <row r="60">
      <c r="A60" t="inlineStr">
        <is>
          <t>CTR-00059</t>
        </is>
      </c>
      <c r="B60" t="inlineStr">
        <is>
          <t>CLI-01261</t>
        </is>
      </c>
      <c r="C60" t="inlineStr">
        <is>
          <t>Guyane</t>
        </is>
      </c>
      <c r="D60" t="inlineStr">
        <is>
          <t>auto</t>
        </is>
      </c>
      <c r="E60" t="inlineStr">
        <is>
          <t>LOA</t>
        </is>
      </c>
      <c r="F60" t="inlineStr">
        <is>
          <t>2026-02-18</t>
        </is>
      </c>
      <c r="G60" s="4" t="n">
        <v>31759.23</v>
      </c>
      <c r="H60" s="4">
        <f>MAX(0,G60-SUMIFS('Paiements contrat'!$B:$B,'Paiements contrat'!$A:$A,A60))</f>
        <v/>
      </c>
      <c r="I60" s="4" t="n">
        <v>30960.33</v>
      </c>
      <c r="J60" t="inlineStr">
        <is>
          <t>actif</t>
        </is>
      </c>
    </row>
    <row r="61">
      <c r="A61" t="inlineStr">
        <is>
          <t>CTR-00060</t>
        </is>
      </c>
      <c r="B61" t="inlineStr">
        <is>
          <t>CLI-00800</t>
        </is>
      </c>
      <c r="C61" t="inlineStr">
        <is>
          <t>Île-de-France</t>
        </is>
      </c>
      <c r="D61" t="inlineStr">
        <is>
          <t>materiel</t>
        </is>
      </c>
      <c r="E61" t="inlineStr">
        <is>
          <t>crédit-bail</t>
        </is>
      </c>
      <c r="F61" t="inlineStr">
        <is>
          <t>2024-04-16</t>
        </is>
      </c>
      <c r="G61" s="4" t="n">
        <v>26059.12</v>
      </c>
      <c r="H61" s="4">
        <f>MAX(0,G61-SUMIFS('Paiements contrat'!$B:$B,'Paiements contrat'!$A:$A,A61))</f>
        <v/>
      </c>
      <c r="I61" s="4" t="n">
        <v>11260.46</v>
      </c>
      <c r="J61" t="inlineStr">
        <is>
          <t>actif</t>
        </is>
      </c>
    </row>
    <row r="62">
      <c r="A62" t="inlineStr">
        <is>
          <t>CTR-00061</t>
        </is>
      </c>
      <c r="B62" t="inlineStr">
        <is>
          <t>CLI-01396</t>
        </is>
      </c>
      <c r="C62" t="inlineStr">
        <is>
          <t>Guyane</t>
        </is>
      </c>
      <c r="D62" t="inlineStr">
        <is>
          <t>auto</t>
        </is>
      </c>
      <c r="E62" t="inlineStr">
        <is>
          <t>LOA</t>
        </is>
      </c>
      <c r="F62" t="inlineStr">
        <is>
          <t>2025-01-14</t>
        </is>
      </c>
      <c r="G62" s="4" t="n">
        <v>55011.18</v>
      </c>
      <c r="H62" s="4">
        <f>MAX(0,G62-SUMIFS('Paiements contrat'!$B:$B,'Paiements contrat'!$A:$A,A62))</f>
        <v/>
      </c>
      <c r="I62" s="4" t="n">
        <v>25777</v>
      </c>
      <c r="J62" t="inlineStr">
        <is>
          <t>actif</t>
        </is>
      </c>
    </row>
    <row r="63">
      <c r="A63" t="inlineStr">
        <is>
          <t>CTR-00062</t>
        </is>
      </c>
      <c r="B63" t="inlineStr">
        <is>
          <t>CLI-00613</t>
        </is>
      </c>
      <c r="C63" t="inlineStr">
        <is>
          <t>Réunion</t>
        </is>
      </c>
      <c r="D63" t="inlineStr">
        <is>
          <t>materiel</t>
        </is>
      </c>
      <c r="E63" t="inlineStr">
        <is>
          <t>crédit-bail</t>
        </is>
      </c>
      <c r="F63" t="inlineStr">
        <is>
          <t>2025-03-20</t>
        </is>
      </c>
      <c r="G63" s="4" t="n">
        <v>87787.45</v>
      </c>
      <c r="H63" s="4">
        <f>MAX(0,G63-SUMIFS('Paiements contrat'!$B:$B,'Paiements contrat'!$A:$A,A63))</f>
        <v/>
      </c>
      <c r="I63" s="4" t="n">
        <v>52650.43</v>
      </c>
      <c r="J63" t="inlineStr">
        <is>
          <t>contentieux</t>
        </is>
      </c>
    </row>
    <row r="64">
      <c r="A64" t="inlineStr">
        <is>
          <t>CTR-00063</t>
        </is>
      </c>
      <c r="B64" t="inlineStr">
        <is>
          <t>CLI-00467</t>
        </is>
      </c>
      <c r="C64" t="inlineStr">
        <is>
          <t>Martinique</t>
        </is>
      </c>
      <c r="D64" t="inlineStr">
        <is>
          <t>materiel</t>
        </is>
      </c>
      <c r="E64" t="inlineStr">
        <is>
          <t>crédit-bail</t>
        </is>
      </c>
      <c r="F64" t="inlineStr">
        <is>
          <t>2026-02-25</t>
        </is>
      </c>
      <c r="G64" s="4" t="n">
        <v>103316.82</v>
      </c>
      <c r="H64" s="4">
        <f>MAX(0,G64-SUMIFS('Paiements contrat'!$B:$B,'Paiements contrat'!$A:$A,A64))</f>
        <v/>
      </c>
      <c r="I64" s="4" t="n">
        <v>101721.7</v>
      </c>
      <c r="J64" t="inlineStr">
        <is>
          <t>contentieux</t>
        </is>
      </c>
    </row>
    <row r="65">
      <c r="A65" t="inlineStr">
        <is>
          <t>CTR-00064</t>
        </is>
      </c>
      <c r="B65" t="inlineStr">
        <is>
          <t>CLI-00568</t>
        </is>
      </c>
      <c r="C65" t="inlineStr">
        <is>
          <t>Île-de-France</t>
        </is>
      </c>
      <c r="D65" t="inlineStr">
        <is>
          <t>bateau</t>
        </is>
      </c>
      <c r="E65" t="inlineStr">
        <is>
          <t>LOA</t>
        </is>
      </c>
      <c r="F65" t="inlineStr">
        <is>
          <t>2024-10-17</t>
        </is>
      </c>
      <c r="G65" s="4" t="n">
        <v>139653.7</v>
      </c>
      <c r="H65" s="4">
        <f>MAX(0,G65-SUMIFS('Paiements contrat'!$B:$B,'Paiements contrat'!$A:$A,A65))</f>
        <v/>
      </c>
      <c r="I65" s="4" t="n">
        <v>81675.22576819088</v>
      </c>
      <c r="J65" t="inlineStr">
        <is>
          <t>actif</t>
        </is>
      </c>
    </row>
    <row r="66">
      <c r="A66" t="inlineStr">
        <is>
          <t>CTR-00065</t>
        </is>
      </c>
      <c r="B66" t="inlineStr">
        <is>
          <t>CLI-00772</t>
        </is>
      </c>
      <c r="C66" t="inlineStr">
        <is>
          <t>Île-de-France</t>
        </is>
      </c>
      <c r="D66" t="inlineStr">
        <is>
          <t>bateau</t>
        </is>
      </c>
      <c r="E66" t="inlineStr">
        <is>
          <t>LOA</t>
        </is>
      </c>
      <c r="F66" t="inlineStr">
        <is>
          <t>2025-03-03</t>
        </is>
      </c>
      <c r="G66" s="4" t="n">
        <v>122529.98</v>
      </c>
      <c r="H66" s="4">
        <f>MAX(0,G66-SUMIFS('Paiements contrat'!$B:$B,'Paiements contrat'!$A:$A,A66))</f>
        <v/>
      </c>
      <c r="I66" s="4" t="n">
        <v>6179.573508849091</v>
      </c>
      <c r="J66" t="inlineStr">
        <is>
          <t>soldé</t>
        </is>
      </c>
    </row>
    <row r="67">
      <c r="A67" t="inlineStr">
        <is>
          <t>CTR-00066</t>
        </is>
      </c>
      <c r="B67" t="inlineStr">
        <is>
          <t>CLI-00453</t>
        </is>
      </c>
      <c r="C67" t="inlineStr">
        <is>
          <t>Réunion</t>
        </is>
      </c>
      <c r="D67" t="inlineStr">
        <is>
          <t>materiel</t>
        </is>
      </c>
      <c r="E67" t="inlineStr">
        <is>
          <t>crédit-bail</t>
        </is>
      </c>
      <c r="F67" t="inlineStr">
        <is>
          <t>2024-06-02</t>
        </is>
      </c>
      <c r="G67" s="4" t="n">
        <v>13514.55</v>
      </c>
      <c r="H67" s="4">
        <f>MAX(0,G67-SUMIFS('Paiements contrat'!$B:$B,'Paiements contrat'!$A:$A,A67))</f>
        <v/>
      </c>
      <c r="I67" s="4" t="n">
        <v>6833.96296772141</v>
      </c>
      <c r="J67" t="inlineStr">
        <is>
          <t>actif</t>
        </is>
      </c>
    </row>
    <row r="68">
      <c r="A68" t="inlineStr">
        <is>
          <t>CTR-00067</t>
        </is>
      </c>
      <c r="B68" t="inlineStr">
        <is>
          <t>CLI-01472</t>
        </is>
      </c>
      <c r="C68" t="inlineStr">
        <is>
          <t>Île-de-France</t>
        </is>
      </c>
      <c r="D68" t="inlineStr">
        <is>
          <t>materiel</t>
        </is>
      </c>
      <c r="E68" t="inlineStr">
        <is>
          <t>crédit-bail</t>
        </is>
      </c>
      <c r="F68" t="inlineStr">
        <is>
          <t>2026-02-24</t>
        </is>
      </c>
      <c r="G68" s="4" t="n">
        <v>32164.18</v>
      </c>
      <c r="H68" s="4">
        <f>MAX(0,G68-SUMIFS('Paiements contrat'!$B:$B,'Paiements contrat'!$A:$A,A68))</f>
        <v/>
      </c>
      <c r="I68" s="4" t="n">
        <v>31348.05</v>
      </c>
      <c r="J68" t="inlineStr">
        <is>
          <t>actif</t>
        </is>
      </c>
    </row>
    <row r="69">
      <c r="A69" t="inlineStr">
        <is>
          <t>CTR-00068</t>
        </is>
      </c>
      <c r="B69" t="inlineStr">
        <is>
          <t>CLI-00184</t>
        </is>
      </c>
      <c r="C69" t="inlineStr">
        <is>
          <t>Martinique</t>
        </is>
      </c>
      <c r="D69" t="inlineStr">
        <is>
          <t>materiel</t>
        </is>
      </c>
      <c r="E69" t="inlineStr">
        <is>
          <t>crédit-bail</t>
        </is>
      </c>
      <c r="F69" t="inlineStr">
        <is>
          <t>2025-07-24</t>
        </is>
      </c>
      <c r="G69" s="4" t="n">
        <v>79534.25</v>
      </c>
      <c r="H69" s="4">
        <f>MAX(0,G69-SUMIFS('Paiements contrat'!$B:$B,'Paiements contrat'!$A:$A,A69))</f>
        <v/>
      </c>
      <c r="I69" s="4" t="n">
        <v>33732.91</v>
      </c>
      <c r="J69" t="inlineStr">
        <is>
          <t>actif</t>
        </is>
      </c>
    </row>
    <row r="70">
      <c r="A70" t="inlineStr">
        <is>
          <t>CTR-00069</t>
        </is>
      </c>
      <c r="B70" t="inlineStr">
        <is>
          <t>CLI-01207</t>
        </is>
      </c>
      <c r="C70" t="inlineStr">
        <is>
          <t>Martinique</t>
        </is>
      </c>
      <c r="D70" t="inlineStr">
        <is>
          <t>auto</t>
        </is>
      </c>
      <c r="E70" t="inlineStr">
        <is>
          <t>LLD</t>
        </is>
      </c>
      <c r="F70" t="inlineStr">
        <is>
          <t>2025-02-27</t>
        </is>
      </c>
      <c r="G70" s="4" t="n">
        <v>45128.03</v>
      </c>
      <c r="H70" s="4">
        <f>MAX(0,G70-SUMIFS('Paiements contrat'!$B:$B,'Paiements contrat'!$A:$A,A70))</f>
        <v/>
      </c>
      <c r="I70" s="4" t="n">
        <v>30146.57048276264</v>
      </c>
      <c r="J70" t="inlineStr">
        <is>
          <t>actif</t>
        </is>
      </c>
    </row>
    <row r="71">
      <c r="A71" t="inlineStr">
        <is>
          <t>CTR-00070</t>
        </is>
      </c>
      <c r="B71" t="inlineStr">
        <is>
          <t>CLI-01154</t>
        </is>
      </c>
      <c r="C71" t="inlineStr">
        <is>
          <t>Île-de-France</t>
        </is>
      </c>
      <c r="D71" t="inlineStr">
        <is>
          <t>materiel</t>
        </is>
      </c>
      <c r="E71" t="inlineStr">
        <is>
          <t>crédit-bail</t>
        </is>
      </c>
      <c r="F71" t="inlineStr">
        <is>
          <t>2025-01-11</t>
        </is>
      </c>
      <c r="G71" s="4" t="n">
        <v>83777.23</v>
      </c>
      <c r="H71" s="4">
        <f>MAX(0,G71-SUMIFS('Paiements contrat'!$B:$B,'Paiements contrat'!$A:$A,A71))</f>
        <v/>
      </c>
      <c r="I71" s="4" t="n">
        <v>0</v>
      </c>
      <c r="J71" t="inlineStr">
        <is>
          <t>soldé</t>
        </is>
      </c>
    </row>
    <row r="72">
      <c r="A72" t="inlineStr">
        <is>
          <t>CTR-00071</t>
        </is>
      </c>
      <c r="B72" t="inlineStr">
        <is>
          <t>CLI-00108</t>
        </is>
      </c>
      <c r="C72" t="inlineStr">
        <is>
          <t>Île-de-France</t>
        </is>
      </c>
      <c r="D72" t="inlineStr">
        <is>
          <t>auto</t>
        </is>
      </c>
      <c r="E72" t="inlineStr">
        <is>
          <t>LLD</t>
        </is>
      </c>
      <c r="F72" t="inlineStr">
        <is>
          <t>2025-05-15</t>
        </is>
      </c>
      <c r="G72" s="4" t="n">
        <v>16939.98</v>
      </c>
      <c r="H72" s="4">
        <f>MAX(0,G72-SUMIFS('Paiements contrat'!$B:$B,'Paiements contrat'!$A:$A,A72))</f>
        <v/>
      </c>
      <c r="I72" s="4" t="n">
        <v>12626.74093224555</v>
      </c>
      <c r="J72" t="inlineStr">
        <is>
          <t>actif</t>
        </is>
      </c>
    </row>
    <row r="73">
      <c r="A73" t="inlineStr">
        <is>
          <t>CTR-00072</t>
        </is>
      </c>
      <c r="B73" t="inlineStr">
        <is>
          <t>CLI-00494</t>
        </is>
      </c>
      <c r="C73" t="inlineStr">
        <is>
          <t>Réunion</t>
        </is>
      </c>
      <c r="D73" t="inlineStr">
        <is>
          <t>auto</t>
        </is>
      </c>
      <c r="E73" t="inlineStr">
        <is>
          <t>LLD</t>
        </is>
      </c>
      <c r="F73" t="inlineStr">
        <is>
          <t>2024-08-26</t>
        </is>
      </c>
      <c r="G73" s="4" t="n">
        <v>19476.79</v>
      </c>
      <c r="H73" s="4">
        <f>MAX(0,G73-SUMIFS('Paiements contrat'!$B:$B,'Paiements contrat'!$A:$A,A73))</f>
        <v/>
      </c>
      <c r="I73" s="4" t="n">
        <v>12454.6069398602</v>
      </c>
      <c r="J73" t="inlineStr">
        <is>
          <t>actif</t>
        </is>
      </c>
    </row>
    <row r="74">
      <c r="A74" t="inlineStr">
        <is>
          <t>CTR-00073</t>
        </is>
      </c>
      <c r="B74" t="inlineStr">
        <is>
          <t>CLI-00779</t>
        </is>
      </c>
      <c r="C74" t="inlineStr">
        <is>
          <t>Guyane</t>
        </is>
      </c>
      <c r="D74" t="inlineStr">
        <is>
          <t>materiel</t>
        </is>
      </c>
      <c r="E74" t="inlineStr">
        <is>
          <t>crédit-bail</t>
        </is>
      </c>
      <c r="F74" t="inlineStr">
        <is>
          <t>2025-09-17</t>
        </is>
      </c>
      <c r="G74" s="4" t="n">
        <v>155615.25</v>
      </c>
      <c r="H74" s="4">
        <f>MAX(0,G74-SUMIFS('Paiements contrat'!$B:$B,'Paiements contrat'!$A:$A,A74))</f>
        <v/>
      </c>
      <c r="I74" s="4" t="n">
        <v>122467.5486405409</v>
      </c>
      <c r="J74" t="inlineStr">
        <is>
          <t>actif</t>
        </is>
      </c>
    </row>
    <row r="75">
      <c r="A75" t="inlineStr">
        <is>
          <t>CTR-00074</t>
        </is>
      </c>
      <c r="B75" t="inlineStr">
        <is>
          <t>CLI-00072</t>
        </is>
      </c>
      <c r="C75" t="inlineStr">
        <is>
          <t>Île-de-France</t>
        </is>
      </c>
      <c r="D75" t="inlineStr">
        <is>
          <t>bateau</t>
        </is>
      </c>
      <c r="E75" t="inlineStr">
        <is>
          <t>LOA</t>
        </is>
      </c>
      <c r="F75" t="inlineStr">
        <is>
          <t>2024-08-15</t>
        </is>
      </c>
      <c r="G75" s="4" t="n">
        <v>158738.64</v>
      </c>
      <c r="H75" s="4">
        <f>MAX(0,G75-SUMIFS('Paiements contrat'!$B:$B,'Paiements contrat'!$A:$A,A75))</f>
        <v/>
      </c>
      <c r="I75" s="4" t="n">
        <v>75139.45000000001</v>
      </c>
      <c r="J75" t="inlineStr">
        <is>
          <t>actif</t>
        </is>
      </c>
    </row>
    <row r="76">
      <c r="A76" t="inlineStr">
        <is>
          <t>CTR-00075</t>
        </is>
      </c>
      <c r="B76" t="inlineStr">
        <is>
          <t>CLI-00947</t>
        </is>
      </c>
      <c r="C76" t="inlineStr">
        <is>
          <t>Île-de-France</t>
        </is>
      </c>
      <c r="D76" t="inlineStr">
        <is>
          <t>materiel</t>
        </is>
      </c>
      <c r="E76" t="inlineStr">
        <is>
          <t>crédit-bail</t>
        </is>
      </c>
      <c r="F76" t="inlineStr">
        <is>
          <t>2025-10-20</t>
        </is>
      </c>
      <c r="G76" s="4" t="n">
        <v>47576.67</v>
      </c>
      <c r="H76" s="4">
        <f>MAX(0,G76-SUMIFS('Paiements contrat'!$B:$B,'Paiements contrat'!$A:$A,A76))</f>
        <v/>
      </c>
      <c r="I76" s="4" t="n">
        <v>41551.14999999999</v>
      </c>
      <c r="J76" t="inlineStr">
        <is>
          <t>actif</t>
        </is>
      </c>
    </row>
    <row r="77">
      <c r="A77" t="inlineStr">
        <is>
          <t>CTR-00076</t>
        </is>
      </c>
      <c r="B77" t="inlineStr">
        <is>
          <t>CLI-01377</t>
        </is>
      </c>
      <c r="C77" t="inlineStr">
        <is>
          <t>Réunion</t>
        </is>
      </c>
      <c r="D77" t="inlineStr">
        <is>
          <t>materiel</t>
        </is>
      </c>
      <c r="E77" t="inlineStr">
        <is>
          <t>crédit-bail</t>
        </is>
      </c>
      <c r="F77" t="inlineStr">
        <is>
          <t>2024-05-17</t>
        </is>
      </c>
      <c r="G77" s="4" t="n">
        <v>90332.8</v>
      </c>
      <c r="H77" s="4">
        <f>MAX(0,G77-SUMIFS('Paiements contrat'!$B:$B,'Paiements contrat'!$A:$A,A77))</f>
        <v/>
      </c>
      <c r="I77" s="4" t="n">
        <v>28889.95</v>
      </c>
      <c r="J77" t="inlineStr">
        <is>
          <t>actif</t>
        </is>
      </c>
    </row>
    <row r="78">
      <c r="A78" t="inlineStr">
        <is>
          <t>CTR-00077</t>
        </is>
      </c>
      <c r="B78" t="inlineStr">
        <is>
          <t>CLI-00868</t>
        </is>
      </c>
      <c r="C78" t="inlineStr">
        <is>
          <t>Île-de-France</t>
        </is>
      </c>
      <c r="D78" t="inlineStr">
        <is>
          <t>bateau</t>
        </is>
      </c>
      <c r="E78" t="inlineStr">
        <is>
          <t>LOA</t>
        </is>
      </c>
      <c r="F78" t="inlineStr">
        <is>
          <t>2024-09-18</t>
        </is>
      </c>
      <c r="G78" s="4" t="n">
        <v>103738.62</v>
      </c>
      <c r="H78" s="4">
        <f>MAX(0,G78-SUMIFS('Paiements contrat'!$B:$B,'Paiements contrat'!$A:$A,A78))</f>
        <v/>
      </c>
      <c r="I78" s="4" t="n">
        <v>71886.99897672603</v>
      </c>
      <c r="J78" t="inlineStr">
        <is>
          <t>actif</t>
        </is>
      </c>
    </row>
    <row r="79">
      <c r="A79" t="inlineStr">
        <is>
          <t>CTR-00078</t>
        </is>
      </c>
      <c r="B79" t="inlineStr">
        <is>
          <t>CLI-00464</t>
        </is>
      </c>
      <c r="C79" t="inlineStr">
        <is>
          <t>Île-de-France</t>
        </is>
      </c>
      <c r="D79" t="inlineStr">
        <is>
          <t>materiel</t>
        </is>
      </c>
      <c r="E79" t="inlineStr">
        <is>
          <t>crédit-bail</t>
        </is>
      </c>
      <c r="F79" t="inlineStr">
        <is>
          <t>2025-08-03</t>
        </is>
      </c>
      <c r="G79" s="4" t="n">
        <v>160714.42</v>
      </c>
      <c r="H79" s="4">
        <f>MAX(0,G79-SUMIFS('Paiements contrat'!$B:$B,'Paiements contrat'!$A:$A,A79))</f>
        <v/>
      </c>
      <c r="I79" s="4" t="n">
        <v>128046.96</v>
      </c>
      <c r="J79" t="inlineStr">
        <is>
          <t>contentieux</t>
        </is>
      </c>
    </row>
    <row r="80">
      <c r="A80" t="inlineStr">
        <is>
          <t>CTR-00079</t>
        </is>
      </c>
      <c r="B80" t="inlineStr">
        <is>
          <t>CLI-00217</t>
        </is>
      </c>
      <c r="C80" t="inlineStr">
        <is>
          <t>Martinique</t>
        </is>
      </c>
      <c r="D80" t="inlineStr">
        <is>
          <t>auto</t>
        </is>
      </c>
      <c r="E80" t="inlineStr">
        <is>
          <t>LLD</t>
        </is>
      </c>
      <c r="F80" t="inlineStr">
        <is>
          <t>2025-04-04</t>
        </is>
      </c>
      <c r="G80" s="4" t="n">
        <v>55344.19</v>
      </c>
      <c r="H80" s="4">
        <f>MAX(0,G80-SUMIFS('Paiements contrat'!$B:$B,'Paiements contrat'!$A:$A,A80))</f>
        <v/>
      </c>
      <c r="I80" s="4" t="n">
        <v>14085.08</v>
      </c>
      <c r="J80" t="inlineStr">
        <is>
          <t>actif</t>
        </is>
      </c>
    </row>
    <row r="81">
      <c r="A81" t="inlineStr">
        <is>
          <t>CTR-00080</t>
        </is>
      </c>
      <c r="B81" t="inlineStr">
        <is>
          <t>CLI-01031</t>
        </is>
      </c>
      <c r="C81" t="inlineStr">
        <is>
          <t>Île-de-France</t>
        </is>
      </c>
      <c r="D81" t="inlineStr">
        <is>
          <t>auto</t>
        </is>
      </c>
      <c r="E81" t="inlineStr">
        <is>
          <t>LOA</t>
        </is>
      </c>
      <c r="F81" t="inlineStr">
        <is>
          <t>2025-11-08</t>
        </is>
      </c>
      <c r="G81" s="4" t="n">
        <v>59691.62</v>
      </c>
      <c r="H81" s="4">
        <f>MAX(0,G81-SUMIFS('Paiements contrat'!$B:$B,'Paiements contrat'!$A:$A,A81))</f>
        <v/>
      </c>
      <c r="I81" s="4" t="n">
        <v>56321.79</v>
      </c>
      <c r="J81" t="inlineStr">
        <is>
          <t>actif</t>
        </is>
      </c>
    </row>
    <row r="82">
      <c r="A82" t="inlineStr">
        <is>
          <t>CTR-00081</t>
        </is>
      </c>
      <c r="B82" t="inlineStr">
        <is>
          <t>CLI-01192</t>
        </is>
      </c>
      <c r="C82" t="inlineStr">
        <is>
          <t>Guyane</t>
        </is>
      </c>
      <c r="D82" t="inlineStr">
        <is>
          <t>materiel</t>
        </is>
      </c>
      <c r="E82" t="inlineStr">
        <is>
          <t>crédit-bail</t>
        </is>
      </c>
      <c r="F82" t="inlineStr">
        <is>
          <t>2025-02-02</t>
        </is>
      </c>
      <c r="G82" s="4" t="n">
        <v>97502.28999999999</v>
      </c>
      <c r="H82" s="4">
        <f>MAX(0,G82-SUMIFS('Paiements contrat'!$B:$B,'Paiements contrat'!$A:$A,A82))</f>
        <v/>
      </c>
      <c r="I82" s="4" t="n">
        <v>-1.455191522836685e-11</v>
      </c>
      <c r="J82" t="inlineStr">
        <is>
          <t>contentieux</t>
        </is>
      </c>
    </row>
    <row r="83">
      <c r="A83" t="inlineStr">
        <is>
          <t>CTR-00082</t>
        </is>
      </c>
      <c r="B83" t="inlineStr">
        <is>
          <t>CLI-00729</t>
        </is>
      </c>
      <c r="C83" t="inlineStr">
        <is>
          <t>Île-de-France</t>
        </is>
      </c>
      <c r="D83" t="inlineStr">
        <is>
          <t>materiel</t>
        </is>
      </c>
      <c r="E83" t="inlineStr">
        <is>
          <t>crédit-bail</t>
        </is>
      </c>
      <c r="F83" t="inlineStr">
        <is>
          <t>2025-07-07</t>
        </is>
      </c>
      <c r="G83" s="4" t="n">
        <v>157361.18</v>
      </c>
      <c r="H83" s="4">
        <f>MAX(0,G83-SUMIFS('Paiements contrat'!$B:$B,'Paiements contrat'!$A:$A,A83))</f>
        <v/>
      </c>
      <c r="I83" s="4" t="n">
        <v>105979.06</v>
      </c>
      <c r="J83" t="inlineStr">
        <is>
          <t>actif</t>
        </is>
      </c>
    </row>
    <row r="84">
      <c r="A84" t="inlineStr">
        <is>
          <t>CTR-00083</t>
        </is>
      </c>
      <c r="B84" t="inlineStr">
        <is>
          <t>CLI-00569</t>
        </is>
      </c>
      <c r="C84" t="inlineStr">
        <is>
          <t>Île-de-France</t>
        </is>
      </c>
      <c r="D84" t="inlineStr">
        <is>
          <t>materiel</t>
        </is>
      </c>
      <c r="E84" t="inlineStr">
        <is>
          <t>crédit-bail</t>
        </is>
      </c>
      <c r="F84" t="inlineStr">
        <is>
          <t>2025-11-19</t>
        </is>
      </c>
      <c r="G84" s="4" t="n">
        <v>113813.11</v>
      </c>
      <c r="H84" s="4">
        <f>MAX(0,G84-SUMIFS('Paiements contrat'!$B:$B,'Paiements contrat'!$A:$A,A84))</f>
        <v/>
      </c>
      <c r="I84" s="4" t="n">
        <v>95316.45999999999</v>
      </c>
      <c r="J84" t="inlineStr">
        <is>
          <t>actif</t>
        </is>
      </c>
    </row>
    <row r="85">
      <c r="A85" t="inlineStr">
        <is>
          <t>CTR-00084</t>
        </is>
      </c>
      <c r="B85" t="inlineStr">
        <is>
          <t>CLI-01338</t>
        </is>
      </c>
      <c r="C85" t="inlineStr">
        <is>
          <t>Île-de-France</t>
        </is>
      </c>
      <c r="D85" t="inlineStr">
        <is>
          <t>bateau</t>
        </is>
      </c>
      <c r="E85" t="inlineStr">
        <is>
          <t>LOA</t>
        </is>
      </c>
      <c r="F85" t="inlineStr">
        <is>
          <t>2025-04-17</t>
        </is>
      </c>
      <c r="G85" s="4" t="n">
        <v>63997.9</v>
      </c>
      <c r="H85" s="4">
        <f>MAX(0,G85-SUMIFS('Paiements contrat'!$B:$B,'Paiements contrat'!$A:$A,A85))</f>
        <v/>
      </c>
      <c r="I85" s="4" t="n">
        <v>51542.46</v>
      </c>
      <c r="J85" t="inlineStr">
        <is>
          <t>actif</t>
        </is>
      </c>
    </row>
    <row r="86">
      <c r="A86" t="inlineStr">
        <is>
          <t>CTR-00085</t>
        </is>
      </c>
      <c r="B86" t="inlineStr">
        <is>
          <t>CLI-00722</t>
        </is>
      </c>
      <c r="C86" t="inlineStr">
        <is>
          <t>Guadeloupe</t>
        </is>
      </c>
      <c r="D86" t="inlineStr">
        <is>
          <t>auto</t>
        </is>
      </c>
      <c r="E86" t="inlineStr">
        <is>
          <t>LLD</t>
        </is>
      </c>
      <c r="F86" t="inlineStr">
        <is>
          <t>2025-10-23</t>
        </is>
      </c>
      <c r="G86" s="4" t="n">
        <v>60812.82</v>
      </c>
      <c r="H86" s="4">
        <f>MAX(0,G86-SUMIFS('Paiements contrat'!$B:$B,'Paiements contrat'!$A:$A,A86))</f>
        <v/>
      </c>
      <c r="I86" s="4" t="n">
        <v>51169.45</v>
      </c>
      <c r="J86" t="inlineStr">
        <is>
          <t>actif</t>
        </is>
      </c>
    </row>
    <row r="87">
      <c r="A87" t="inlineStr">
        <is>
          <t>CTR-00086</t>
        </is>
      </c>
      <c r="B87" t="inlineStr">
        <is>
          <t>CLI-00327</t>
        </is>
      </c>
      <c r="C87" t="inlineStr">
        <is>
          <t>Île-de-France</t>
        </is>
      </c>
      <c r="D87" t="inlineStr">
        <is>
          <t>auto</t>
        </is>
      </c>
      <c r="E87" t="inlineStr">
        <is>
          <t>LLD</t>
        </is>
      </c>
      <c r="F87" t="inlineStr">
        <is>
          <t>2025-06-10</t>
        </is>
      </c>
      <c r="G87" s="4" t="n">
        <v>26393.15</v>
      </c>
      <c r="H87" s="4">
        <f>MAX(0,G87-SUMIFS('Paiements contrat'!$B:$B,'Paiements contrat'!$A:$A,A87))</f>
        <v/>
      </c>
      <c r="I87" s="4" t="n">
        <v>18899.56</v>
      </c>
      <c r="J87" t="inlineStr">
        <is>
          <t>actif</t>
        </is>
      </c>
    </row>
    <row r="88">
      <c r="A88" t="inlineStr">
        <is>
          <t>CTR-00087</t>
        </is>
      </c>
      <c r="B88" t="inlineStr">
        <is>
          <t>CLI-00242</t>
        </is>
      </c>
      <c r="C88" t="inlineStr">
        <is>
          <t>Réunion</t>
        </is>
      </c>
      <c r="D88" t="inlineStr">
        <is>
          <t>auto</t>
        </is>
      </c>
      <c r="E88" t="inlineStr">
        <is>
          <t>LOA</t>
        </is>
      </c>
      <c r="F88" t="inlineStr">
        <is>
          <t>2025-04-08</t>
        </is>
      </c>
      <c r="G88" s="4" t="n">
        <v>46986.52</v>
      </c>
      <c r="H88" s="4">
        <f>MAX(0,G88-SUMIFS('Paiements contrat'!$B:$B,'Paiements contrat'!$A:$A,A88))</f>
        <v/>
      </c>
      <c r="I88" s="4" t="n">
        <v>37686.44</v>
      </c>
      <c r="J88" t="inlineStr">
        <is>
          <t>actif</t>
        </is>
      </c>
    </row>
    <row r="89">
      <c r="A89" t="inlineStr">
        <is>
          <t>CTR-00088</t>
        </is>
      </c>
      <c r="B89" t="inlineStr">
        <is>
          <t>CLI-00940</t>
        </is>
      </c>
      <c r="C89" t="inlineStr">
        <is>
          <t>Île-de-France</t>
        </is>
      </c>
      <c r="D89" t="inlineStr">
        <is>
          <t>materiel</t>
        </is>
      </c>
      <c r="E89" t="inlineStr">
        <is>
          <t>crédit-bail</t>
        </is>
      </c>
      <c r="F89" t="inlineStr">
        <is>
          <t>2026-02-10</t>
        </is>
      </c>
      <c r="G89" s="4" t="n">
        <v>38009.21</v>
      </c>
      <c r="H89" s="4">
        <f>MAX(0,G89-SUMIFS('Paiements contrat'!$B:$B,'Paiements contrat'!$A:$A,A89))</f>
        <v/>
      </c>
      <c r="I89" s="4" t="n">
        <v>37056.47</v>
      </c>
      <c r="J89" t="inlineStr">
        <is>
          <t>actif</t>
        </is>
      </c>
    </row>
    <row r="90">
      <c r="A90" t="inlineStr">
        <is>
          <t>CTR-00089</t>
        </is>
      </c>
      <c r="B90" t="inlineStr">
        <is>
          <t>CLI-01067</t>
        </is>
      </c>
      <c r="C90" t="inlineStr">
        <is>
          <t>Île-de-France</t>
        </is>
      </c>
      <c r="D90" t="inlineStr">
        <is>
          <t>auto</t>
        </is>
      </c>
      <c r="E90" t="inlineStr">
        <is>
          <t>LOA</t>
        </is>
      </c>
      <c r="F90" t="inlineStr">
        <is>
          <t>2024-09-11</t>
        </is>
      </c>
      <c r="G90" s="4" t="n">
        <v>46273.28</v>
      </c>
      <c r="H90" s="4">
        <f>MAX(0,G90-SUMIFS('Paiements contrat'!$B:$B,'Paiements contrat'!$A:$A,A90))</f>
        <v/>
      </c>
      <c r="I90" s="4" t="n">
        <v>23630.98</v>
      </c>
      <c r="J90" t="inlineStr">
        <is>
          <t>actif</t>
        </is>
      </c>
    </row>
    <row r="91">
      <c r="A91" t="inlineStr">
        <is>
          <t>CTR-00090</t>
        </is>
      </c>
      <c r="B91" t="inlineStr">
        <is>
          <t>CLI-01088</t>
        </is>
      </c>
      <c r="C91" t="inlineStr">
        <is>
          <t>Île-de-France</t>
        </is>
      </c>
      <c r="D91" t="inlineStr">
        <is>
          <t>bateau</t>
        </is>
      </c>
      <c r="E91" t="inlineStr">
        <is>
          <t>LOA</t>
        </is>
      </c>
      <c r="F91" t="inlineStr">
        <is>
          <t>2025-11-16</t>
        </is>
      </c>
      <c r="G91" s="4" t="n">
        <v>134800.73</v>
      </c>
      <c r="H91" s="4">
        <f>MAX(0,G91-SUMIFS('Paiements contrat'!$B:$B,'Paiements contrat'!$A:$A,A91))</f>
        <v/>
      </c>
      <c r="I91" s="4" t="n">
        <v>117974.85</v>
      </c>
      <c r="J91" t="inlineStr">
        <is>
          <t>contentieux</t>
        </is>
      </c>
    </row>
    <row r="92">
      <c r="A92" t="inlineStr">
        <is>
          <t>CTR-00091</t>
        </is>
      </c>
      <c r="B92" t="inlineStr">
        <is>
          <t>CLI-00832</t>
        </is>
      </c>
      <c r="C92" t="inlineStr">
        <is>
          <t>Île-de-France</t>
        </is>
      </c>
      <c r="D92" t="inlineStr">
        <is>
          <t>materiel</t>
        </is>
      </c>
      <c r="E92" t="inlineStr">
        <is>
          <t>crédit-bail</t>
        </is>
      </c>
      <c r="F92" t="inlineStr">
        <is>
          <t>2025-07-26</t>
        </is>
      </c>
      <c r="G92" s="4" t="n">
        <v>79511.21000000001</v>
      </c>
      <c r="H92" s="4">
        <f>MAX(0,G92-SUMIFS('Paiements contrat'!$B:$B,'Paiements contrat'!$A:$A,A92))</f>
        <v/>
      </c>
      <c r="I92" s="4" t="n">
        <v>60706.33</v>
      </c>
      <c r="J92" t="inlineStr">
        <is>
          <t>actif</t>
        </is>
      </c>
    </row>
    <row r="93">
      <c r="A93" t="inlineStr">
        <is>
          <t>CTR-00092</t>
        </is>
      </c>
      <c r="B93" t="inlineStr">
        <is>
          <t>CLI-00293</t>
        </is>
      </c>
      <c r="C93" t="inlineStr">
        <is>
          <t>Martinique</t>
        </is>
      </c>
      <c r="D93" t="inlineStr">
        <is>
          <t>auto</t>
        </is>
      </c>
      <c r="E93" t="inlineStr">
        <is>
          <t>LLD</t>
        </is>
      </c>
      <c r="F93" t="inlineStr">
        <is>
          <t>2025-02-16</t>
        </is>
      </c>
      <c r="G93" s="4" t="n">
        <v>31105.62</v>
      </c>
      <c r="H93" s="4">
        <f>MAX(0,G93-SUMIFS('Paiements contrat'!$B:$B,'Paiements contrat'!$A:$A,A93))</f>
        <v/>
      </c>
      <c r="I93" s="4" t="n">
        <v>8891.860000000001</v>
      </c>
      <c r="J93" t="inlineStr">
        <is>
          <t>actif</t>
        </is>
      </c>
    </row>
    <row r="94">
      <c r="A94" t="inlineStr">
        <is>
          <t>CTR-00093</t>
        </is>
      </c>
      <c r="B94" t="inlineStr">
        <is>
          <t>CLI-00668</t>
        </is>
      </c>
      <c r="C94" t="inlineStr">
        <is>
          <t>Île-de-France</t>
        </is>
      </c>
      <c r="D94" t="inlineStr">
        <is>
          <t>materiel</t>
        </is>
      </c>
      <c r="E94" t="inlineStr">
        <is>
          <t>crédit-bail</t>
        </is>
      </c>
      <c r="F94" t="inlineStr">
        <is>
          <t>2025-02-12</t>
        </is>
      </c>
      <c r="G94" s="4" t="n">
        <v>153491.74</v>
      </c>
      <c r="H94" s="4">
        <f>MAX(0,G94-SUMIFS('Paiements contrat'!$B:$B,'Paiements contrat'!$A:$A,A94))</f>
        <v/>
      </c>
      <c r="I94" s="4" t="n">
        <v>119419.79</v>
      </c>
      <c r="J94" t="inlineStr">
        <is>
          <t>actif</t>
        </is>
      </c>
    </row>
    <row r="95">
      <c r="A95" t="inlineStr">
        <is>
          <t>CTR-00094</t>
        </is>
      </c>
      <c r="B95" t="inlineStr">
        <is>
          <t>CLI-00637</t>
        </is>
      </c>
      <c r="C95" t="inlineStr">
        <is>
          <t>Île-de-France</t>
        </is>
      </c>
      <c r="D95" t="inlineStr">
        <is>
          <t>auto</t>
        </is>
      </c>
      <c r="E95" t="inlineStr">
        <is>
          <t>LOA</t>
        </is>
      </c>
      <c r="F95" t="inlineStr">
        <is>
          <t>2024-07-01</t>
        </is>
      </c>
      <c r="G95" s="4" t="n">
        <v>10983.83</v>
      </c>
      <c r="H95" s="4">
        <f>MAX(0,G95-SUMIFS('Paiements contrat'!$B:$B,'Paiements contrat'!$A:$A,A95))</f>
        <v/>
      </c>
      <c r="I95" s="4" t="n">
        <v>2603.227556135989</v>
      </c>
      <c r="J95" t="inlineStr">
        <is>
          <t>actif</t>
        </is>
      </c>
    </row>
    <row r="96">
      <c r="A96" t="inlineStr">
        <is>
          <t>CTR-00095</t>
        </is>
      </c>
      <c r="B96" t="inlineStr">
        <is>
          <t>CLI-00669</t>
        </is>
      </c>
      <c r="C96" t="inlineStr">
        <is>
          <t>Île-de-France</t>
        </is>
      </c>
      <c r="D96" t="inlineStr">
        <is>
          <t>auto</t>
        </is>
      </c>
      <c r="E96" t="inlineStr">
        <is>
          <t>LLD</t>
        </is>
      </c>
      <c r="F96" t="inlineStr">
        <is>
          <t>2025-10-17</t>
        </is>
      </c>
      <c r="G96" s="4" t="n">
        <v>41454.98</v>
      </c>
      <c r="H96" s="4">
        <f>MAX(0,G96-SUMIFS('Paiements contrat'!$B:$B,'Paiements contrat'!$A:$A,A96))</f>
        <v/>
      </c>
      <c r="I96" s="4" t="n">
        <v>34754.78</v>
      </c>
      <c r="J96" t="inlineStr">
        <is>
          <t>actif</t>
        </is>
      </c>
    </row>
    <row r="97">
      <c r="A97" t="inlineStr">
        <is>
          <t>CTR-00096</t>
        </is>
      </c>
      <c r="B97" t="inlineStr">
        <is>
          <t>CLI-01378</t>
        </is>
      </c>
      <c r="C97" t="inlineStr">
        <is>
          <t>Île-de-France</t>
        </is>
      </c>
      <c r="D97" t="inlineStr">
        <is>
          <t>bateau</t>
        </is>
      </c>
      <c r="E97" t="inlineStr">
        <is>
          <t>LOA</t>
        </is>
      </c>
      <c r="F97" t="inlineStr">
        <is>
          <t>2024-09-17</t>
        </is>
      </c>
      <c r="G97" s="4" t="n">
        <v>84788.92999999999</v>
      </c>
      <c r="H97" s="4">
        <f>MAX(0,G97-SUMIFS('Paiements contrat'!$B:$B,'Paiements contrat'!$A:$A,A97))</f>
        <v/>
      </c>
      <c r="I97" s="4" t="n">
        <v>48367.82999999999</v>
      </c>
      <c r="J97" t="inlineStr">
        <is>
          <t>actif</t>
        </is>
      </c>
    </row>
    <row r="98">
      <c r="A98" t="inlineStr">
        <is>
          <t>CTR-00097</t>
        </is>
      </c>
      <c r="B98" t="inlineStr">
        <is>
          <t>CLI-00288</t>
        </is>
      </c>
      <c r="C98" t="inlineStr">
        <is>
          <t>Martinique</t>
        </is>
      </c>
      <c r="D98" t="inlineStr">
        <is>
          <t>auto</t>
        </is>
      </c>
      <c r="E98" t="inlineStr">
        <is>
          <t>LLD</t>
        </is>
      </c>
      <c r="F98" t="inlineStr">
        <is>
          <t>2025-04-16</t>
        </is>
      </c>
      <c r="G98" s="4" t="n">
        <v>54947.46</v>
      </c>
      <c r="H98" s="4">
        <f>MAX(0,G98-SUMIFS('Paiements contrat'!$B:$B,'Paiements contrat'!$A:$A,A98))</f>
        <v/>
      </c>
      <c r="I98" s="4" t="n">
        <v>33646.56956093646</v>
      </c>
      <c r="J98" t="inlineStr">
        <is>
          <t>actif</t>
        </is>
      </c>
    </row>
    <row r="99">
      <c r="A99" t="inlineStr">
        <is>
          <t>CTR-00098</t>
        </is>
      </c>
      <c r="B99" t="inlineStr">
        <is>
          <t>CLI-01459</t>
        </is>
      </c>
      <c r="C99" t="inlineStr">
        <is>
          <t>Martinique</t>
        </is>
      </c>
      <c r="D99" t="inlineStr">
        <is>
          <t>materiel</t>
        </is>
      </c>
      <c r="E99" t="inlineStr">
        <is>
          <t>crédit-bail</t>
        </is>
      </c>
      <c r="F99" t="inlineStr">
        <is>
          <t>2024-05-22</t>
        </is>
      </c>
      <c r="G99" s="4" t="n">
        <v>130811.52</v>
      </c>
      <c r="H99" s="4">
        <f>MAX(0,G99-SUMIFS('Paiements contrat'!$B:$B,'Paiements contrat'!$A:$A,A99))</f>
        <v/>
      </c>
      <c r="I99" s="4" t="n">
        <v>79308.84178341605</v>
      </c>
      <c r="J99" t="inlineStr">
        <is>
          <t>actif</t>
        </is>
      </c>
    </row>
    <row r="100">
      <c r="A100" t="inlineStr">
        <is>
          <t>CTR-00099</t>
        </is>
      </c>
      <c r="B100" t="inlineStr">
        <is>
          <t>CLI-00857</t>
        </is>
      </c>
      <c r="C100" t="inlineStr">
        <is>
          <t>Île-de-France</t>
        </is>
      </c>
      <c r="D100" t="inlineStr">
        <is>
          <t>auto</t>
        </is>
      </c>
      <c r="E100" t="inlineStr">
        <is>
          <t>LLD</t>
        </is>
      </c>
      <c r="F100" t="inlineStr">
        <is>
          <t>2024-10-09</t>
        </is>
      </c>
      <c r="G100" s="4" t="n">
        <v>50835.32</v>
      </c>
      <c r="H100" s="4">
        <f>MAX(0,G100-SUMIFS('Paiements contrat'!$B:$B,'Paiements contrat'!$A:$A,A100))</f>
        <v/>
      </c>
      <c r="I100" s="4" t="n">
        <v>24551.18</v>
      </c>
      <c r="J100" t="inlineStr">
        <is>
          <t>actif</t>
        </is>
      </c>
    </row>
    <row r="101">
      <c r="A101" t="inlineStr">
        <is>
          <t>CTR-00100</t>
        </is>
      </c>
      <c r="B101" t="inlineStr">
        <is>
          <t>CLI-00184</t>
        </is>
      </c>
      <c r="C101" t="inlineStr">
        <is>
          <t>Martinique</t>
        </is>
      </c>
      <c r="D101" t="inlineStr">
        <is>
          <t>materiel</t>
        </is>
      </c>
      <c r="E101" t="inlineStr">
        <is>
          <t>crédit-bail</t>
        </is>
      </c>
      <c r="F101" t="inlineStr">
        <is>
          <t>2026-03-05</t>
        </is>
      </c>
      <c r="G101" s="4" t="n">
        <v>98640.25999999999</v>
      </c>
      <c r="H101" s="4">
        <f>MAX(0,G101-SUMIFS('Paiements contrat'!$B:$B,'Paiements contrat'!$A:$A,A101))</f>
        <v/>
      </c>
      <c r="I101" s="4" t="n">
        <v>98640.25999999999</v>
      </c>
      <c r="J101" t="inlineStr">
        <is>
          <t>actif</t>
        </is>
      </c>
    </row>
    <row r="102">
      <c r="A102" t="inlineStr">
        <is>
          <t>CTR-00101</t>
        </is>
      </c>
      <c r="B102" t="inlineStr">
        <is>
          <t>CLI-00009</t>
        </is>
      </c>
      <c r="C102" t="inlineStr">
        <is>
          <t>Île-de-France</t>
        </is>
      </c>
      <c r="D102" t="inlineStr">
        <is>
          <t>auto</t>
        </is>
      </c>
      <c r="E102" t="inlineStr">
        <is>
          <t>LOA</t>
        </is>
      </c>
      <c r="F102" t="inlineStr">
        <is>
          <t>2024-04-20</t>
        </is>
      </c>
      <c r="G102" s="4" t="n">
        <v>60323.88</v>
      </c>
      <c r="H102" s="4">
        <f>MAX(0,G102-SUMIFS('Paiements contrat'!$B:$B,'Paiements contrat'!$A:$A,A102))</f>
        <v/>
      </c>
      <c r="I102" s="4" t="n">
        <v>28303.4</v>
      </c>
      <c r="J102" t="inlineStr">
        <is>
          <t>actif</t>
        </is>
      </c>
    </row>
    <row r="103">
      <c r="A103" t="inlineStr">
        <is>
          <t>CTR-00102</t>
        </is>
      </c>
      <c r="B103" t="inlineStr">
        <is>
          <t>CLI-01049</t>
        </is>
      </c>
      <c r="C103" t="inlineStr">
        <is>
          <t>Martinique</t>
        </is>
      </c>
      <c r="D103" t="inlineStr">
        <is>
          <t>bateau</t>
        </is>
      </c>
      <c r="E103" t="inlineStr">
        <is>
          <t>LOA</t>
        </is>
      </c>
      <c r="F103" t="inlineStr">
        <is>
          <t>2025-04-11</t>
        </is>
      </c>
      <c r="G103" s="4" t="n">
        <v>171320.85</v>
      </c>
      <c r="H103" s="4">
        <f>MAX(0,G103-SUMIFS('Paiements contrat'!$B:$B,'Paiements contrat'!$A:$A,A103))</f>
        <v/>
      </c>
      <c r="I103" s="4" t="n">
        <v>138530.612467398</v>
      </c>
      <c r="J103" t="inlineStr">
        <is>
          <t>actif</t>
        </is>
      </c>
    </row>
    <row r="104">
      <c r="A104" t="inlineStr">
        <is>
          <t>CTR-00103</t>
        </is>
      </c>
      <c r="B104" t="inlineStr">
        <is>
          <t>CLI-00547</t>
        </is>
      </c>
      <c r="C104" t="inlineStr">
        <is>
          <t>Île-de-France</t>
        </is>
      </c>
      <c r="D104" t="inlineStr">
        <is>
          <t>auto</t>
        </is>
      </c>
      <c r="E104" t="inlineStr">
        <is>
          <t>LLD</t>
        </is>
      </c>
      <c r="F104" t="inlineStr">
        <is>
          <t>2026-01-12</t>
        </is>
      </c>
      <c r="G104" s="4" t="n">
        <v>32857.97</v>
      </c>
      <c r="H104" s="4">
        <f>MAX(0,G104-SUMIFS('Paiements contrat'!$B:$B,'Paiements contrat'!$A:$A,A104))</f>
        <v/>
      </c>
      <c r="I104" s="4" t="n">
        <v>31121.81</v>
      </c>
      <c r="J104" t="inlineStr">
        <is>
          <t>actif</t>
        </is>
      </c>
    </row>
    <row r="105">
      <c r="A105" t="inlineStr">
        <is>
          <t>CTR-00104</t>
        </is>
      </c>
      <c r="B105" t="inlineStr">
        <is>
          <t>CLI-01136</t>
        </is>
      </c>
      <c r="C105" t="inlineStr">
        <is>
          <t>Île-de-France</t>
        </is>
      </c>
      <c r="D105" t="inlineStr">
        <is>
          <t>bateau</t>
        </is>
      </c>
      <c r="E105" t="inlineStr">
        <is>
          <t>LOA</t>
        </is>
      </c>
      <c r="F105" t="inlineStr">
        <is>
          <t>2025-06-06</t>
        </is>
      </c>
      <c r="G105" s="4" t="n">
        <v>181263.6</v>
      </c>
      <c r="H105" s="4">
        <f>MAX(0,G105-SUMIFS('Paiements contrat'!$B:$B,'Paiements contrat'!$A:$A,A105))</f>
        <v/>
      </c>
      <c r="I105" s="4" t="n">
        <v>138406.38</v>
      </c>
      <c r="J105" t="inlineStr">
        <is>
          <t>contentieux</t>
        </is>
      </c>
    </row>
    <row r="106">
      <c r="A106" t="inlineStr">
        <is>
          <t>CTR-00105</t>
        </is>
      </c>
      <c r="B106" t="inlineStr">
        <is>
          <t>CLI-01060</t>
        </is>
      </c>
      <c r="C106" t="inlineStr">
        <is>
          <t>Île-de-France</t>
        </is>
      </c>
      <c r="D106" t="inlineStr">
        <is>
          <t>materiel</t>
        </is>
      </c>
      <c r="E106" t="inlineStr">
        <is>
          <t>crédit-bail</t>
        </is>
      </c>
      <c r="F106" t="inlineStr">
        <is>
          <t>2024-05-10</t>
        </is>
      </c>
      <c r="G106" s="4" t="n">
        <v>79080.86</v>
      </c>
      <c r="H106" s="4">
        <f>MAX(0,G106-SUMIFS('Paiements contrat'!$B:$B,'Paiements contrat'!$A:$A,A106))</f>
        <v/>
      </c>
      <c r="I106" s="4" t="n">
        <v>35128.56</v>
      </c>
      <c r="J106" t="inlineStr">
        <is>
          <t>actif</t>
        </is>
      </c>
    </row>
    <row r="107">
      <c r="A107" t="inlineStr">
        <is>
          <t>CTR-00106</t>
        </is>
      </c>
      <c r="B107" t="inlineStr">
        <is>
          <t>CLI-00071</t>
        </is>
      </c>
      <c r="C107" t="inlineStr">
        <is>
          <t>Île-de-France</t>
        </is>
      </c>
      <c r="D107" t="inlineStr">
        <is>
          <t>auto</t>
        </is>
      </c>
      <c r="E107" t="inlineStr">
        <is>
          <t>LLD</t>
        </is>
      </c>
      <c r="F107" t="inlineStr">
        <is>
          <t>2024-05-05</t>
        </is>
      </c>
      <c r="G107" s="4" t="n">
        <v>40262.17</v>
      </c>
      <c r="H107" s="4">
        <f>MAX(0,G107-SUMIFS('Paiements contrat'!$B:$B,'Paiements contrat'!$A:$A,A107))</f>
        <v/>
      </c>
      <c r="I107" s="4" t="n">
        <v>18243.21</v>
      </c>
      <c r="J107" t="inlineStr">
        <is>
          <t>actif</t>
        </is>
      </c>
    </row>
    <row r="108">
      <c r="A108" t="inlineStr">
        <is>
          <t>CTR-00107</t>
        </is>
      </c>
      <c r="B108" t="inlineStr">
        <is>
          <t>CLI-00912</t>
        </is>
      </c>
      <c r="C108" t="inlineStr">
        <is>
          <t>Guyane</t>
        </is>
      </c>
      <c r="D108" t="inlineStr">
        <is>
          <t>materiel</t>
        </is>
      </c>
      <c r="E108" t="inlineStr">
        <is>
          <t>crédit-bail</t>
        </is>
      </c>
      <c r="F108" t="inlineStr">
        <is>
          <t>2024-05-19</t>
        </is>
      </c>
      <c r="G108" s="4" t="n">
        <v>77117.83</v>
      </c>
      <c r="H108" s="4">
        <f>MAX(0,G108-SUMIFS('Paiements contrat'!$B:$B,'Paiements contrat'!$A:$A,A108))</f>
        <v/>
      </c>
      <c r="I108" s="4" t="n">
        <v>14907.8455519979</v>
      </c>
      <c r="J108" t="inlineStr">
        <is>
          <t>actif</t>
        </is>
      </c>
    </row>
    <row r="109">
      <c r="A109" t="inlineStr">
        <is>
          <t>CTR-00108</t>
        </is>
      </c>
      <c r="B109" t="inlineStr">
        <is>
          <t>CLI-00338</t>
        </is>
      </c>
      <c r="C109" t="inlineStr">
        <is>
          <t>Île-de-France</t>
        </is>
      </c>
      <c r="D109" t="inlineStr">
        <is>
          <t>materiel</t>
        </is>
      </c>
      <c r="E109" t="inlineStr">
        <is>
          <t>crédit-bail</t>
        </is>
      </c>
      <c r="F109" t="inlineStr">
        <is>
          <t>2025-08-18</t>
        </is>
      </c>
      <c r="G109" s="4" t="n">
        <v>44838.19</v>
      </c>
      <c r="H109" s="4">
        <f>MAX(0,G109-SUMIFS('Paiements contrat'!$B:$B,'Paiements contrat'!$A:$A,A109))</f>
        <v/>
      </c>
      <c r="I109" s="4" t="n">
        <v>37999.51</v>
      </c>
      <c r="J109" t="inlineStr">
        <is>
          <t>actif</t>
        </is>
      </c>
    </row>
    <row r="110">
      <c r="A110" t="inlineStr">
        <is>
          <t>CTR-00109</t>
        </is>
      </c>
      <c r="B110" t="inlineStr">
        <is>
          <t>CLI-00429</t>
        </is>
      </c>
      <c r="C110" t="inlineStr">
        <is>
          <t>Guyane</t>
        </is>
      </c>
      <c r="D110" t="inlineStr">
        <is>
          <t>materiel</t>
        </is>
      </c>
      <c r="E110" t="inlineStr">
        <is>
          <t>crédit-bail</t>
        </is>
      </c>
      <c r="F110" t="inlineStr">
        <is>
          <t>2025-11-08</t>
        </is>
      </c>
      <c r="G110" s="4" t="n">
        <v>138525.52</v>
      </c>
      <c r="H110" s="4">
        <f>MAX(0,G110-SUMIFS('Paiements contrat'!$B:$B,'Paiements contrat'!$A:$A,A110))</f>
        <v/>
      </c>
      <c r="I110" s="4" t="n">
        <v>120842.12</v>
      </c>
      <c r="J110" t="inlineStr">
        <is>
          <t>actif</t>
        </is>
      </c>
    </row>
    <row r="111">
      <c r="A111" t="inlineStr">
        <is>
          <t>CTR-00110</t>
        </is>
      </c>
      <c r="B111" t="inlineStr">
        <is>
          <t>CLI-01107</t>
        </is>
      </c>
      <c r="C111" t="inlineStr">
        <is>
          <t>Île-de-France</t>
        </is>
      </c>
      <c r="D111" t="inlineStr">
        <is>
          <t>bateau</t>
        </is>
      </c>
      <c r="E111" t="inlineStr">
        <is>
          <t>LOA</t>
        </is>
      </c>
      <c r="F111" t="inlineStr">
        <is>
          <t>2025-02-19</t>
        </is>
      </c>
      <c r="G111" s="4" t="n">
        <v>174230.83</v>
      </c>
      <c r="H111" s="4">
        <f>MAX(0,G111-SUMIFS('Paiements contrat'!$B:$B,'Paiements contrat'!$A:$A,A111))</f>
        <v/>
      </c>
      <c r="I111" s="4" t="n">
        <v>124065.1361158016</v>
      </c>
      <c r="J111" t="inlineStr">
        <is>
          <t>actif</t>
        </is>
      </c>
    </row>
    <row r="112">
      <c r="A112" t="inlineStr">
        <is>
          <t>CTR-00111</t>
        </is>
      </c>
      <c r="B112" t="inlineStr">
        <is>
          <t>CLI-00325</t>
        </is>
      </c>
      <c r="C112" t="inlineStr">
        <is>
          <t>Île-de-France</t>
        </is>
      </c>
      <c r="D112" t="inlineStr">
        <is>
          <t>auto</t>
        </is>
      </c>
      <c r="E112" t="inlineStr">
        <is>
          <t>LLD</t>
        </is>
      </c>
      <c r="F112" t="inlineStr">
        <is>
          <t>2025-08-20</t>
        </is>
      </c>
      <c r="G112" s="4" t="n">
        <v>51961.27</v>
      </c>
      <c r="H112" s="4">
        <f>MAX(0,G112-SUMIFS('Paiements contrat'!$B:$B,'Paiements contrat'!$A:$A,A112))</f>
        <v/>
      </c>
      <c r="I112" s="4" t="n">
        <v>42832.7</v>
      </c>
      <c r="J112" t="inlineStr">
        <is>
          <t>actif</t>
        </is>
      </c>
    </row>
    <row r="113">
      <c r="A113" t="inlineStr">
        <is>
          <t>CTR-00112</t>
        </is>
      </c>
      <c r="B113" t="inlineStr">
        <is>
          <t>CLI-01316</t>
        </is>
      </c>
      <c r="C113" t="inlineStr">
        <is>
          <t>Île-de-France</t>
        </is>
      </c>
      <c r="D113" t="inlineStr">
        <is>
          <t>materiel</t>
        </is>
      </c>
      <c r="E113" t="inlineStr">
        <is>
          <t>crédit-bail</t>
        </is>
      </c>
      <c r="F113" t="inlineStr">
        <is>
          <t>2025-10-08</t>
        </is>
      </c>
      <c r="G113" s="4" t="n">
        <v>155626.68</v>
      </c>
      <c r="H113" s="4">
        <f>MAX(0,G113-SUMIFS('Paiements contrat'!$B:$B,'Paiements contrat'!$A:$A,A113))</f>
        <v/>
      </c>
      <c r="I113" s="4" t="n">
        <v>134980.89</v>
      </c>
      <c r="J113" t="inlineStr">
        <is>
          <t>actif</t>
        </is>
      </c>
    </row>
    <row r="114">
      <c r="A114" t="inlineStr">
        <is>
          <t>CTR-00113</t>
        </is>
      </c>
      <c r="B114" t="inlineStr">
        <is>
          <t>CLI-00175</t>
        </is>
      </c>
      <c r="C114" t="inlineStr">
        <is>
          <t>Île-de-France</t>
        </is>
      </c>
      <c r="D114" t="inlineStr">
        <is>
          <t>auto</t>
        </is>
      </c>
      <c r="E114" t="inlineStr">
        <is>
          <t>LLD</t>
        </is>
      </c>
      <c r="F114" t="inlineStr">
        <is>
          <t>2024-05-21</t>
        </is>
      </c>
      <c r="G114" s="4" t="n">
        <v>41338.89</v>
      </c>
      <c r="H114" s="4">
        <f>MAX(0,G114-SUMIFS('Paiements contrat'!$B:$B,'Paiements contrat'!$A:$A,A114))</f>
        <v/>
      </c>
      <c r="I114" s="4" t="n">
        <v>5470.709999999999</v>
      </c>
      <c r="J114" t="inlineStr">
        <is>
          <t>actif</t>
        </is>
      </c>
    </row>
    <row r="115">
      <c r="A115" t="inlineStr">
        <is>
          <t>CTR-00114</t>
        </is>
      </c>
      <c r="B115" t="inlineStr">
        <is>
          <t>CLI-01331</t>
        </is>
      </c>
      <c r="C115" t="inlineStr">
        <is>
          <t>Île-de-France</t>
        </is>
      </c>
      <c r="D115" t="inlineStr">
        <is>
          <t>materiel</t>
        </is>
      </c>
      <c r="E115" t="inlineStr">
        <is>
          <t>crédit-bail</t>
        </is>
      </c>
      <c r="F115" t="inlineStr">
        <is>
          <t>2025-08-19</t>
        </is>
      </c>
      <c r="G115" s="4" t="n">
        <v>172422.56</v>
      </c>
      <c r="H115" s="4">
        <f>MAX(0,G115-SUMIFS('Paiements contrat'!$B:$B,'Paiements contrat'!$A:$A,A115))</f>
        <v/>
      </c>
      <c r="I115" s="4" t="n">
        <v>108967.9742884434</v>
      </c>
      <c r="J115" t="inlineStr">
        <is>
          <t>actif</t>
        </is>
      </c>
    </row>
    <row r="116">
      <c r="A116" t="inlineStr">
        <is>
          <t>CTR-00115</t>
        </is>
      </c>
      <c r="B116" t="inlineStr">
        <is>
          <t>CLI-00411</t>
        </is>
      </c>
      <c r="C116" t="inlineStr">
        <is>
          <t>Île-de-France</t>
        </is>
      </c>
      <c r="D116" t="inlineStr">
        <is>
          <t>auto</t>
        </is>
      </c>
      <c r="E116" t="inlineStr">
        <is>
          <t>LLD</t>
        </is>
      </c>
      <c r="F116" t="inlineStr">
        <is>
          <t>2025-03-20</t>
        </is>
      </c>
      <c r="G116" s="4" t="n">
        <v>60539.86</v>
      </c>
      <c r="H116" s="4">
        <f>MAX(0,G116-SUMIFS('Paiements contrat'!$B:$B,'Paiements contrat'!$A:$A,A116))</f>
        <v/>
      </c>
      <c r="I116" s="4" t="n">
        <v>44415.62</v>
      </c>
      <c r="J116" t="inlineStr">
        <is>
          <t>actif</t>
        </is>
      </c>
    </row>
    <row r="117">
      <c r="A117" t="inlineStr">
        <is>
          <t>CTR-00116</t>
        </is>
      </c>
      <c r="B117" t="inlineStr">
        <is>
          <t>CLI-00691</t>
        </is>
      </c>
      <c r="C117" t="inlineStr">
        <is>
          <t>Guyane</t>
        </is>
      </c>
      <c r="D117" t="inlineStr">
        <is>
          <t>auto</t>
        </is>
      </c>
      <c r="E117" t="inlineStr">
        <is>
          <t>LOA</t>
        </is>
      </c>
      <c r="F117" t="inlineStr">
        <is>
          <t>2025-01-01</t>
        </is>
      </c>
      <c r="G117" s="4" t="n">
        <v>12202.33</v>
      </c>
      <c r="H117" s="4">
        <f>MAX(0,G117-SUMIFS('Paiements contrat'!$B:$B,'Paiements contrat'!$A:$A,A117))</f>
        <v/>
      </c>
      <c r="I117" s="4" t="n">
        <v>7911.83</v>
      </c>
      <c r="J117" t="inlineStr">
        <is>
          <t>actif</t>
        </is>
      </c>
    </row>
    <row r="118">
      <c r="A118" t="inlineStr">
        <is>
          <t>CTR-00117</t>
        </is>
      </c>
      <c r="B118" t="inlineStr">
        <is>
          <t>CLI-00707</t>
        </is>
      </c>
      <c r="C118" t="inlineStr">
        <is>
          <t>Île-de-France</t>
        </is>
      </c>
      <c r="D118" t="inlineStr">
        <is>
          <t>bateau</t>
        </is>
      </c>
      <c r="E118" t="inlineStr">
        <is>
          <t>LOA</t>
        </is>
      </c>
      <c r="F118" t="inlineStr">
        <is>
          <t>2025-09-27</t>
        </is>
      </c>
      <c r="G118" s="4" t="n">
        <v>132234.47</v>
      </c>
      <c r="H118" s="4">
        <f>MAX(0,G118-SUMIFS('Paiements contrat'!$B:$B,'Paiements contrat'!$A:$A,A118))</f>
        <v/>
      </c>
      <c r="I118" s="4" t="n">
        <v>117515.26</v>
      </c>
      <c r="J118" t="inlineStr">
        <is>
          <t>actif</t>
        </is>
      </c>
    </row>
    <row r="119">
      <c r="A119" t="inlineStr">
        <is>
          <t>CTR-00118</t>
        </is>
      </c>
      <c r="B119" t="inlineStr">
        <is>
          <t>CLI-01203</t>
        </is>
      </c>
      <c r="C119" t="inlineStr">
        <is>
          <t>Île-de-France</t>
        </is>
      </c>
      <c r="D119" t="inlineStr">
        <is>
          <t>auto</t>
        </is>
      </c>
      <c r="E119" t="inlineStr">
        <is>
          <t>LOA</t>
        </is>
      </c>
      <c r="F119" t="inlineStr">
        <is>
          <t>2025-10-22</t>
        </is>
      </c>
      <c r="G119" s="4" t="n">
        <v>47627.97</v>
      </c>
      <c r="H119" s="4">
        <f>MAX(0,G119-SUMIFS('Paiements contrat'!$B:$B,'Paiements contrat'!$A:$A,A119))</f>
        <v/>
      </c>
      <c r="I119" s="4" t="n">
        <v>42862.56</v>
      </c>
      <c r="J119" t="inlineStr">
        <is>
          <t>actif</t>
        </is>
      </c>
    </row>
    <row r="120">
      <c r="A120" t="inlineStr">
        <is>
          <t>CTR-00120</t>
        </is>
      </c>
      <c r="B120" t="inlineStr">
        <is>
          <t>CLI-00758</t>
        </is>
      </c>
      <c r="C120" t="inlineStr">
        <is>
          <t>Île-de-France</t>
        </is>
      </c>
      <c r="D120" t="inlineStr">
        <is>
          <t>materiel</t>
        </is>
      </c>
      <c r="E120" t="inlineStr">
        <is>
          <t>crédit-bail</t>
        </is>
      </c>
      <c r="F120" t="inlineStr">
        <is>
          <t>2025-12-23</t>
        </is>
      </c>
      <c r="G120" s="4" t="n">
        <v>165215.39</v>
      </c>
      <c r="H120" s="4">
        <f>MAX(0,G120-SUMIFS('Paiements contrat'!$B:$B,'Paiements contrat'!$A:$A,A120))</f>
        <v/>
      </c>
      <c r="I120" s="4" t="n">
        <v>151927.13</v>
      </c>
      <c r="J120" t="inlineStr">
        <is>
          <t>actif</t>
        </is>
      </c>
    </row>
    <row r="121">
      <c r="A121" t="inlineStr">
        <is>
          <t>CTR-00121</t>
        </is>
      </c>
      <c r="B121" t="inlineStr">
        <is>
          <t>CLI-00448</t>
        </is>
      </c>
      <c r="C121" t="inlineStr">
        <is>
          <t>Île-de-France</t>
        </is>
      </c>
      <c r="D121" t="inlineStr">
        <is>
          <t>materiel</t>
        </is>
      </c>
      <c r="E121" t="inlineStr">
        <is>
          <t>crédit-bail</t>
        </is>
      </c>
      <c r="F121" t="inlineStr">
        <is>
          <t>2025-02-14</t>
        </is>
      </c>
      <c r="G121" s="4" t="n">
        <v>176434.28</v>
      </c>
      <c r="H121" s="4">
        <f>MAX(0,G121-SUMIFS('Paiements contrat'!$B:$B,'Paiements contrat'!$A:$A,A121))</f>
        <v/>
      </c>
      <c r="I121" s="4" t="n">
        <v>136982.8</v>
      </c>
      <c r="J121" t="inlineStr">
        <is>
          <t>actif</t>
        </is>
      </c>
    </row>
    <row r="122">
      <c r="A122" t="inlineStr">
        <is>
          <t>CTR-00122</t>
        </is>
      </c>
      <c r="B122" t="inlineStr">
        <is>
          <t>CLI-00045</t>
        </is>
      </c>
      <c r="C122" t="inlineStr">
        <is>
          <t>Île-de-France</t>
        </is>
      </c>
      <c r="D122" t="inlineStr">
        <is>
          <t>materiel</t>
        </is>
      </c>
      <c r="E122" t="inlineStr">
        <is>
          <t>crédit-bail</t>
        </is>
      </c>
      <c r="F122" t="inlineStr">
        <is>
          <t>2024-08-17</t>
        </is>
      </c>
      <c r="G122" s="4" t="n">
        <v>72575.84</v>
      </c>
      <c r="H122" s="4">
        <f>MAX(0,G122-SUMIFS('Paiements contrat'!$B:$B,'Paiements contrat'!$A:$A,A122))</f>
        <v/>
      </c>
      <c r="I122" s="4" t="n">
        <v>18658.74</v>
      </c>
      <c r="J122" t="inlineStr">
        <is>
          <t>actif</t>
        </is>
      </c>
    </row>
    <row r="123">
      <c r="A123" t="inlineStr">
        <is>
          <t>CTR-00123</t>
        </is>
      </c>
      <c r="B123" t="inlineStr">
        <is>
          <t>CLI-00976</t>
        </is>
      </c>
      <c r="C123" t="inlineStr">
        <is>
          <t>Réunion</t>
        </is>
      </c>
      <c r="D123" t="inlineStr">
        <is>
          <t>materiel</t>
        </is>
      </c>
      <c r="E123" t="inlineStr">
        <is>
          <t>crédit-bail</t>
        </is>
      </c>
      <c r="F123" t="inlineStr">
        <is>
          <t>2025-06-20</t>
        </is>
      </c>
      <c r="G123" s="4" t="n">
        <v>126636.91</v>
      </c>
      <c r="H123" s="4">
        <f>MAX(0,G123-SUMIFS('Paiements contrat'!$B:$B,'Paiements contrat'!$A:$A,A123))</f>
        <v/>
      </c>
      <c r="I123" s="4" t="n">
        <v>85153.47</v>
      </c>
      <c r="J123" t="inlineStr">
        <is>
          <t>actif</t>
        </is>
      </c>
    </row>
    <row r="124">
      <c r="A124" t="inlineStr">
        <is>
          <t>CTR-00124</t>
        </is>
      </c>
      <c r="B124" t="inlineStr">
        <is>
          <t>CLI-00291</t>
        </is>
      </c>
      <c r="C124" t="inlineStr">
        <is>
          <t>Île-de-France</t>
        </is>
      </c>
      <c r="D124" t="inlineStr">
        <is>
          <t>bateau</t>
        </is>
      </c>
      <c r="E124" t="inlineStr">
        <is>
          <t>LOA</t>
        </is>
      </c>
      <c r="F124" t="inlineStr">
        <is>
          <t>2024-10-14</t>
        </is>
      </c>
      <c r="G124" s="4" t="n">
        <v>141431.9</v>
      </c>
      <c r="H124" s="4">
        <f>MAX(0,G124-SUMIFS('Paiements contrat'!$B:$B,'Paiements contrat'!$A:$A,A124))</f>
        <v/>
      </c>
      <c r="I124" s="4" t="n">
        <v>60627.04999999999</v>
      </c>
      <c r="J124" t="inlineStr">
        <is>
          <t>actif</t>
        </is>
      </c>
    </row>
    <row r="125">
      <c r="A125" t="inlineStr">
        <is>
          <t>CTR-00125</t>
        </is>
      </c>
      <c r="B125" t="inlineStr">
        <is>
          <t>CLI-00619</t>
        </is>
      </c>
      <c r="C125" t="inlineStr">
        <is>
          <t>Réunion</t>
        </is>
      </c>
      <c r="D125" t="inlineStr">
        <is>
          <t>auto</t>
        </is>
      </c>
      <c r="E125" t="inlineStr">
        <is>
          <t>LLD</t>
        </is>
      </c>
      <c r="F125" t="inlineStr">
        <is>
          <t>2024-10-25</t>
        </is>
      </c>
      <c r="G125" s="4" t="n">
        <v>21615.87</v>
      </c>
      <c r="H125" s="4">
        <f>MAX(0,G125-SUMIFS('Paiements contrat'!$B:$B,'Paiements contrat'!$A:$A,A125))</f>
        <v/>
      </c>
      <c r="I125" s="4" t="n">
        <v>15365.28935481434</v>
      </c>
      <c r="J125" t="inlineStr">
        <is>
          <t>actif</t>
        </is>
      </c>
    </row>
    <row r="126">
      <c r="A126" t="inlineStr">
        <is>
          <t>CTR-00126</t>
        </is>
      </c>
      <c r="B126" t="inlineStr">
        <is>
          <t>CLI-00948</t>
        </is>
      </c>
      <c r="C126" t="inlineStr">
        <is>
          <t>Île-de-France</t>
        </is>
      </c>
      <c r="D126" t="inlineStr">
        <is>
          <t>materiel</t>
        </is>
      </c>
      <c r="E126" t="inlineStr">
        <is>
          <t>crédit-bail</t>
        </is>
      </c>
      <c r="F126" t="inlineStr">
        <is>
          <t>2025-09-22</t>
        </is>
      </c>
      <c r="G126" s="4" t="n">
        <v>71144.47</v>
      </c>
      <c r="H126" s="4">
        <f>MAX(0,G126-SUMIFS('Paiements contrat'!$B:$B,'Paiements contrat'!$A:$A,A126))</f>
        <v/>
      </c>
      <c r="I126" s="4" t="n">
        <v>65124.05</v>
      </c>
      <c r="J126" t="inlineStr">
        <is>
          <t>actif</t>
        </is>
      </c>
    </row>
    <row r="127">
      <c r="A127" t="inlineStr">
        <is>
          <t>CTR-00127</t>
        </is>
      </c>
      <c r="B127" t="inlineStr">
        <is>
          <t>CLI-00798</t>
        </is>
      </c>
      <c r="C127" t="inlineStr">
        <is>
          <t>Île-de-France</t>
        </is>
      </c>
      <c r="D127" t="inlineStr">
        <is>
          <t>auto</t>
        </is>
      </c>
      <c r="E127" t="inlineStr">
        <is>
          <t>LOA</t>
        </is>
      </c>
      <c r="F127" t="inlineStr">
        <is>
          <t>2024-06-04</t>
        </is>
      </c>
      <c r="G127" s="4" t="n">
        <v>48046.41</v>
      </c>
      <c r="H127" s="4">
        <f>MAX(0,G127-SUMIFS('Paiements contrat'!$B:$B,'Paiements contrat'!$A:$A,A127))</f>
        <v/>
      </c>
      <c r="I127" s="4" t="n">
        <v>18450.31</v>
      </c>
      <c r="J127" t="inlineStr">
        <is>
          <t>actif</t>
        </is>
      </c>
    </row>
    <row r="128">
      <c r="A128" t="inlineStr">
        <is>
          <t>CTR-00128</t>
        </is>
      </c>
      <c r="B128" t="inlineStr">
        <is>
          <t>CLI-00232</t>
        </is>
      </c>
      <c r="C128" t="inlineStr">
        <is>
          <t>Île-de-France</t>
        </is>
      </c>
      <c r="D128" t="inlineStr">
        <is>
          <t>auto</t>
        </is>
      </c>
      <c r="E128" t="inlineStr">
        <is>
          <t>LLD</t>
        </is>
      </c>
      <c r="F128" t="inlineStr">
        <is>
          <t>2025-05-13</t>
        </is>
      </c>
      <c r="G128" s="4" t="n">
        <v>37169.25</v>
      </c>
      <c r="H128" s="4">
        <f>MAX(0,G128-SUMIFS('Paiements contrat'!$B:$B,'Paiements contrat'!$A:$A,A128))</f>
        <v/>
      </c>
      <c r="I128" s="4" t="n">
        <v>28231.74</v>
      </c>
      <c r="J128" t="inlineStr">
        <is>
          <t>actif</t>
        </is>
      </c>
    </row>
    <row r="129">
      <c r="A129" t="inlineStr">
        <is>
          <t>CTR-00129</t>
        </is>
      </c>
      <c r="B129" t="inlineStr">
        <is>
          <t>CLI-00285</t>
        </is>
      </c>
      <c r="C129" t="inlineStr">
        <is>
          <t>Île-de-France</t>
        </is>
      </c>
      <c r="D129" t="inlineStr">
        <is>
          <t>bateau</t>
        </is>
      </c>
      <c r="E129" t="inlineStr">
        <is>
          <t>LOA</t>
        </is>
      </c>
      <c r="F129" t="inlineStr">
        <is>
          <t>2025-06-22</t>
        </is>
      </c>
      <c r="G129" s="4" t="n">
        <v>199792.53</v>
      </c>
      <c r="H129" s="4">
        <f>MAX(0,G129-SUMIFS('Paiements contrat'!$B:$B,'Paiements contrat'!$A:$A,A129))</f>
        <v/>
      </c>
      <c r="I129" s="4" t="n">
        <v>126931.1</v>
      </c>
      <c r="J129" t="inlineStr">
        <is>
          <t>actif</t>
        </is>
      </c>
    </row>
    <row r="130">
      <c r="A130" t="inlineStr">
        <is>
          <t>CTR-00130</t>
        </is>
      </c>
      <c r="B130" t="inlineStr">
        <is>
          <t>CLI-01438</t>
        </is>
      </c>
      <c r="C130" t="inlineStr">
        <is>
          <t>Île-de-France</t>
        </is>
      </c>
      <c r="D130" t="inlineStr">
        <is>
          <t>bateau</t>
        </is>
      </c>
      <c r="E130" t="inlineStr">
        <is>
          <t>LOA</t>
        </is>
      </c>
      <c r="F130" t="inlineStr">
        <is>
          <t>2025-12-22</t>
        </is>
      </c>
      <c r="G130" s="4" t="n">
        <v>53564.18</v>
      </c>
      <c r="H130" s="4">
        <f>MAX(0,G130-SUMIFS('Paiements contrat'!$B:$B,'Paiements contrat'!$A:$A,A130))</f>
        <v/>
      </c>
      <c r="I130" s="4" t="n">
        <v>50635.92</v>
      </c>
      <c r="J130" t="inlineStr">
        <is>
          <t>actif</t>
        </is>
      </c>
    </row>
    <row r="131">
      <c r="A131" t="inlineStr">
        <is>
          <t>CTR-00131</t>
        </is>
      </c>
      <c r="B131" t="inlineStr">
        <is>
          <t>CLI-00232</t>
        </is>
      </c>
      <c r="C131" t="inlineStr">
        <is>
          <t>Île-de-France</t>
        </is>
      </c>
      <c r="D131" t="inlineStr">
        <is>
          <t>auto</t>
        </is>
      </c>
      <c r="E131" t="inlineStr">
        <is>
          <t>LOA</t>
        </is>
      </c>
      <c r="F131" t="inlineStr">
        <is>
          <t>2025-06-25</t>
        </is>
      </c>
      <c r="G131" s="4" t="n">
        <v>25863.72</v>
      </c>
      <c r="H131" s="4">
        <f>MAX(0,G131-SUMIFS('Paiements contrat'!$B:$B,'Paiements contrat'!$A:$A,A131))</f>
        <v/>
      </c>
      <c r="I131" s="4" t="n">
        <v>21534.73</v>
      </c>
      <c r="J131" t="inlineStr">
        <is>
          <t>actif</t>
        </is>
      </c>
    </row>
    <row r="132">
      <c r="A132" t="inlineStr">
        <is>
          <t>CTR-00132</t>
        </is>
      </c>
      <c r="B132" t="inlineStr">
        <is>
          <t>CLI-00329</t>
        </is>
      </c>
      <c r="C132" t="inlineStr">
        <is>
          <t>Réunion</t>
        </is>
      </c>
      <c r="D132" t="inlineStr">
        <is>
          <t>materiel</t>
        </is>
      </c>
      <c r="E132" t="inlineStr">
        <is>
          <t>crédit-bail</t>
        </is>
      </c>
      <c r="F132" t="inlineStr">
        <is>
          <t>2025-03-15</t>
        </is>
      </c>
      <c r="G132" s="4" t="n">
        <v>98313.17</v>
      </c>
      <c r="H132" s="4">
        <f>MAX(0,G132-SUMIFS('Paiements contrat'!$B:$B,'Paiements contrat'!$A:$A,A132))</f>
        <v/>
      </c>
      <c r="I132" s="4" t="n">
        <v>76807.20999999999</v>
      </c>
      <c r="J132" t="inlineStr">
        <is>
          <t>contentieux</t>
        </is>
      </c>
    </row>
    <row r="133">
      <c r="A133" t="inlineStr">
        <is>
          <t>CTR-00133</t>
        </is>
      </c>
      <c r="B133" t="inlineStr">
        <is>
          <t>CLI-00445</t>
        </is>
      </c>
      <c r="C133" t="inlineStr">
        <is>
          <t>Guadeloupe</t>
        </is>
      </c>
      <c r="D133" t="inlineStr">
        <is>
          <t>auto</t>
        </is>
      </c>
      <c r="E133" t="inlineStr">
        <is>
          <t>LOA</t>
        </is>
      </c>
      <c r="F133" t="inlineStr">
        <is>
          <t>2025-11-17</t>
        </is>
      </c>
      <c r="G133" s="4" t="n">
        <v>60419.65</v>
      </c>
      <c r="H133" s="4">
        <f>MAX(0,G133-SUMIFS('Paiements contrat'!$B:$B,'Paiements contrat'!$A:$A,A133))</f>
        <v/>
      </c>
      <c r="I133" s="4" t="n">
        <v>47223.02</v>
      </c>
      <c r="J133" t="inlineStr">
        <is>
          <t>actif</t>
        </is>
      </c>
    </row>
    <row r="134">
      <c r="A134" t="inlineStr">
        <is>
          <t>CTR-00134</t>
        </is>
      </c>
      <c r="B134" t="inlineStr">
        <is>
          <t>CLI-00852</t>
        </is>
      </c>
      <c r="C134" t="inlineStr">
        <is>
          <t>Île-de-France</t>
        </is>
      </c>
      <c r="D134" t="inlineStr">
        <is>
          <t>auto</t>
        </is>
      </c>
      <c r="E134" t="inlineStr">
        <is>
          <t>LOA</t>
        </is>
      </c>
      <c r="F134" t="inlineStr">
        <is>
          <t>2024-10-27</t>
        </is>
      </c>
      <c r="G134" s="4" t="n">
        <v>20002.83</v>
      </c>
      <c r="H134" s="4">
        <f>MAX(0,G134-SUMIFS('Paiements contrat'!$B:$B,'Paiements contrat'!$A:$A,A134))</f>
        <v/>
      </c>
      <c r="I134" s="4" t="n">
        <v>11600.63</v>
      </c>
      <c r="J134" t="inlineStr">
        <is>
          <t>actif</t>
        </is>
      </c>
    </row>
    <row r="135">
      <c r="A135" t="inlineStr">
        <is>
          <t>CTR-00135</t>
        </is>
      </c>
      <c r="B135" t="inlineStr">
        <is>
          <t>CLI-00565</t>
        </is>
      </c>
      <c r="C135" t="inlineStr">
        <is>
          <t>Île-de-France</t>
        </is>
      </c>
      <c r="D135" t="inlineStr">
        <is>
          <t>auto</t>
        </is>
      </c>
      <c r="E135" t="inlineStr">
        <is>
          <t>LLD</t>
        </is>
      </c>
      <c r="F135" t="inlineStr">
        <is>
          <t>2025-05-16</t>
        </is>
      </c>
      <c r="G135" s="4" t="n">
        <v>33072.06</v>
      </c>
      <c r="H135" s="4">
        <f>MAX(0,G135-SUMIFS('Paiements contrat'!$B:$B,'Paiements contrat'!$A:$A,A135))</f>
        <v/>
      </c>
      <c r="I135" s="4" t="n">
        <v>19794.87</v>
      </c>
      <c r="J135" t="inlineStr">
        <is>
          <t>actif</t>
        </is>
      </c>
    </row>
    <row r="136">
      <c r="A136" t="inlineStr">
        <is>
          <t>CTR-00136</t>
        </is>
      </c>
      <c r="B136" t="inlineStr">
        <is>
          <t>CLI-00306</t>
        </is>
      </c>
      <c r="C136" t="inlineStr">
        <is>
          <t>Île-de-France</t>
        </is>
      </c>
      <c r="D136" t="inlineStr">
        <is>
          <t>auto</t>
        </is>
      </c>
      <c r="E136" t="inlineStr">
        <is>
          <t>LOA</t>
        </is>
      </c>
      <c r="F136" t="inlineStr">
        <is>
          <t>2025-10-02</t>
        </is>
      </c>
      <c r="G136" s="4" t="n">
        <v>9473.77</v>
      </c>
      <c r="H136" s="4">
        <f>MAX(0,G136-SUMIFS('Paiements contrat'!$B:$B,'Paiements contrat'!$A:$A,A136))</f>
        <v/>
      </c>
      <c r="I136" s="4" t="n">
        <v>6880.84</v>
      </c>
      <c r="J136" t="inlineStr">
        <is>
          <t>actif</t>
        </is>
      </c>
    </row>
    <row r="137">
      <c r="A137" t="inlineStr">
        <is>
          <t>CTR-00137</t>
        </is>
      </c>
      <c r="B137" t="inlineStr">
        <is>
          <t>CLI-00127</t>
        </is>
      </c>
      <c r="C137" t="inlineStr">
        <is>
          <t>Île-de-France</t>
        </is>
      </c>
      <c r="D137" t="inlineStr">
        <is>
          <t>auto</t>
        </is>
      </c>
      <c r="E137" t="inlineStr">
        <is>
          <t>LOA</t>
        </is>
      </c>
      <c r="F137" t="inlineStr">
        <is>
          <t>2025-09-19</t>
        </is>
      </c>
      <c r="G137" s="4" t="n">
        <v>11677.82</v>
      </c>
      <c r="H137" s="4">
        <f>MAX(0,G137-SUMIFS('Paiements contrat'!$B:$B,'Paiements contrat'!$A:$A,A137))</f>
        <v/>
      </c>
      <c r="I137" s="4" t="n">
        <v>10411.56296013226</v>
      </c>
      <c r="J137" t="inlineStr">
        <is>
          <t>actif</t>
        </is>
      </c>
    </row>
    <row r="138">
      <c r="A138" t="inlineStr">
        <is>
          <t>CTR-00138</t>
        </is>
      </c>
      <c r="B138" t="inlineStr">
        <is>
          <t>CLI-00910</t>
        </is>
      </c>
      <c r="C138" t="inlineStr">
        <is>
          <t>Île-de-France</t>
        </is>
      </c>
      <c r="D138" t="inlineStr">
        <is>
          <t>materiel</t>
        </is>
      </c>
      <c r="E138" t="inlineStr">
        <is>
          <t>crédit-bail</t>
        </is>
      </c>
      <c r="F138" t="inlineStr">
        <is>
          <t>2025-02-06</t>
        </is>
      </c>
      <c r="G138" s="4" t="n">
        <v>12962.5</v>
      </c>
      <c r="H138" s="4">
        <f>MAX(0,G138-SUMIFS('Paiements contrat'!$B:$B,'Paiements contrat'!$A:$A,A138))</f>
        <v/>
      </c>
      <c r="I138" s="4" t="n">
        <v>8811.119999999999</v>
      </c>
      <c r="J138" t="inlineStr">
        <is>
          <t>actif</t>
        </is>
      </c>
    </row>
    <row r="139">
      <c r="A139" t="inlineStr">
        <is>
          <t>CTR-00139</t>
        </is>
      </c>
      <c r="B139" t="inlineStr">
        <is>
          <t>CLI-01412</t>
        </is>
      </c>
      <c r="C139" t="inlineStr">
        <is>
          <t>Île-de-France</t>
        </is>
      </c>
      <c r="D139" t="inlineStr">
        <is>
          <t>auto</t>
        </is>
      </c>
      <c r="E139" t="inlineStr">
        <is>
          <t>LLD</t>
        </is>
      </c>
      <c r="F139" t="inlineStr">
        <is>
          <t>2026-01-13</t>
        </is>
      </c>
      <c r="G139" s="4" t="n">
        <v>64034.18</v>
      </c>
      <c r="H139" s="4">
        <f>MAX(0,G139-SUMIFS('Paiements contrat'!$B:$B,'Paiements contrat'!$A:$A,A139))</f>
        <v/>
      </c>
      <c r="I139" s="4" t="n">
        <v>53514.33</v>
      </c>
      <c r="J139" t="inlineStr">
        <is>
          <t>actif</t>
        </is>
      </c>
    </row>
    <row r="140">
      <c r="A140" t="inlineStr">
        <is>
          <t>CTR-00140</t>
        </is>
      </c>
      <c r="B140" t="inlineStr">
        <is>
          <t>CLI-01363</t>
        </is>
      </c>
      <c r="C140" t="inlineStr">
        <is>
          <t>Martinique</t>
        </is>
      </c>
      <c r="D140" t="inlineStr">
        <is>
          <t>auto</t>
        </is>
      </c>
      <c r="E140" t="inlineStr">
        <is>
          <t>LOA</t>
        </is>
      </c>
      <c r="F140" t="inlineStr">
        <is>
          <t>2026-03-08</t>
        </is>
      </c>
      <c r="G140" s="4" t="n">
        <v>10056.67</v>
      </c>
      <c r="H140" s="4">
        <f>MAX(0,G140-SUMIFS('Paiements contrat'!$B:$B,'Paiements contrat'!$A:$A,A140))</f>
        <v/>
      </c>
      <c r="I140" s="4" t="n">
        <v>10056.67</v>
      </c>
      <c r="J140" t="inlineStr">
        <is>
          <t>actif</t>
        </is>
      </c>
    </row>
    <row r="141">
      <c r="A141" t="inlineStr">
        <is>
          <t>CTR-00141</t>
        </is>
      </c>
      <c r="B141" t="inlineStr">
        <is>
          <t>CLI-01374</t>
        </is>
      </c>
      <c r="C141" t="inlineStr">
        <is>
          <t>Île-de-France</t>
        </is>
      </c>
      <c r="D141" t="inlineStr">
        <is>
          <t>materiel</t>
        </is>
      </c>
      <c r="E141" t="inlineStr">
        <is>
          <t>crédit-bail</t>
        </is>
      </c>
      <c r="F141" t="inlineStr">
        <is>
          <t>2024-12-11</t>
        </is>
      </c>
      <c r="G141" s="4" t="n">
        <v>196867.53</v>
      </c>
      <c r="H141" s="4">
        <f>MAX(0,G141-SUMIFS('Paiements contrat'!$B:$B,'Paiements contrat'!$A:$A,A141))</f>
        <v/>
      </c>
      <c r="I141" s="4" t="n">
        <v>144231.99</v>
      </c>
      <c r="J141" t="inlineStr">
        <is>
          <t>actif</t>
        </is>
      </c>
    </row>
    <row r="142">
      <c r="A142" t="inlineStr">
        <is>
          <t>CTR-00142</t>
        </is>
      </c>
      <c r="B142" t="inlineStr">
        <is>
          <t>CLI-00138</t>
        </is>
      </c>
      <c r="C142" t="inlineStr">
        <is>
          <t>Île-de-France</t>
        </is>
      </c>
      <c r="D142" t="inlineStr">
        <is>
          <t>materiel</t>
        </is>
      </c>
      <c r="E142" t="inlineStr">
        <is>
          <t>crédit-bail</t>
        </is>
      </c>
      <c r="F142" t="inlineStr">
        <is>
          <t>2025-10-06</t>
        </is>
      </c>
      <c r="G142" s="4" t="n">
        <v>87835.14</v>
      </c>
      <c r="H142" s="4">
        <f>MAX(0,G142-SUMIFS('Paiements contrat'!$B:$B,'Paiements contrat'!$A:$A,A142))</f>
        <v/>
      </c>
      <c r="I142" s="4" t="n">
        <v>68790.31</v>
      </c>
      <c r="J142" t="inlineStr">
        <is>
          <t>actif</t>
        </is>
      </c>
    </row>
    <row r="143">
      <c r="A143" t="inlineStr">
        <is>
          <t>CTR-00143</t>
        </is>
      </c>
      <c r="B143" t="inlineStr">
        <is>
          <t>CLI-01459</t>
        </is>
      </c>
      <c r="C143" t="inlineStr">
        <is>
          <t>Martinique</t>
        </is>
      </c>
      <c r="D143" t="inlineStr">
        <is>
          <t>bateau</t>
        </is>
      </c>
      <c r="E143" t="inlineStr">
        <is>
          <t>LOA</t>
        </is>
      </c>
      <c r="F143" t="inlineStr">
        <is>
          <t>2026-03-24</t>
        </is>
      </c>
      <c r="G143" s="4" t="n">
        <v>63065.77</v>
      </c>
      <c r="H143" s="4">
        <f>MAX(0,G143-SUMIFS('Paiements contrat'!$B:$B,'Paiements contrat'!$A:$A,A143))</f>
        <v/>
      </c>
      <c r="I143" s="4" t="n">
        <v>63065.77</v>
      </c>
      <c r="J143" t="inlineStr">
        <is>
          <t>contentieux</t>
        </is>
      </c>
    </row>
    <row r="144">
      <c r="A144" t="inlineStr">
        <is>
          <t>CTR-00145</t>
        </is>
      </c>
      <c r="B144" t="inlineStr">
        <is>
          <t>CLI-00531</t>
        </is>
      </c>
      <c r="C144" t="inlineStr">
        <is>
          <t>Guyane</t>
        </is>
      </c>
      <c r="D144" t="inlineStr">
        <is>
          <t>materiel</t>
        </is>
      </c>
      <c r="E144" t="inlineStr">
        <is>
          <t>crédit-bail</t>
        </is>
      </c>
      <c r="F144" t="inlineStr">
        <is>
          <t>2024-07-01</t>
        </is>
      </c>
      <c r="G144" s="4" t="n">
        <v>100420.39</v>
      </c>
      <c r="H144" s="4">
        <f>MAX(0,G144-SUMIFS('Paiements contrat'!$B:$B,'Paiements contrat'!$A:$A,A144))</f>
        <v/>
      </c>
      <c r="I144" s="4" t="n">
        <v>57222.87</v>
      </c>
      <c r="J144" t="inlineStr">
        <is>
          <t>actif</t>
        </is>
      </c>
    </row>
    <row r="145">
      <c r="A145" t="inlineStr">
        <is>
          <t>CTR-00146</t>
        </is>
      </c>
      <c r="B145" t="inlineStr">
        <is>
          <t>CLI-00450</t>
        </is>
      </c>
      <c r="C145" t="inlineStr">
        <is>
          <t>Réunion</t>
        </is>
      </c>
      <c r="D145" t="inlineStr">
        <is>
          <t>bateau</t>
        </is>
      </c>
      <c r="E145" t="inlineStr">
        <is>
          <t>LOA</t>
        </is>
      </c>
      <c r="F145" t="inlineStr">
        <is>
          <t>2024-04-04</t>
        </is>
      </c>
      <c r="G145" s="4" t="n">
        <v>38129.78</v>
      </c>
      <c r="H145" s="4">
        <f>MAX(0,G145-SUMIFS('Paiements contrat'!$B:$B,'Paiements contrat'!$A:$A,A145))</f>
        <v/>
      </c>
      <c r="I145" s="4" t="n">
        <v>19539.17</v>
      </c>
      <c r="J145" t="inlineStr">
        <is>
          <t>actif</t>
        </is>
      </c>
    </row>
    <row r="146">
      <c r="A146" t="inlineStr">
        <is>
          <t>CTR-00147</t>
        </is>
      </c>
      <c r="B146" t="inlineStr">
        <is>
          <t>CLI-00257</t>
        </is>
      </c>
      <c r="C146" t="inlineStr">
        <is>
          <t>Île-de-France</t>
        </is>
      </c>
      <c r="D146" t="inlineStr">
        <is>
          <t>auto</t>
        </is>
      </c>
      <c r="E146" t="inlineStr">
        <is>
          <t>LLD</t>
        </is>
      </c>
      <c r="F146" t="inlineStr">
        <is>
          <t>2025-03-24</t>
        </is>
      </c>
      <c r="G146" s="4" t="n">
        <v>56582.18</v>
      </c>
      <c r="H146" s="4">
        <f>MAX(0,G146-SUMIFS('Paiements contrat'!$B:$B,'Paiements contrat'!$A:$A,A146))</f>
        <v/>
      </c>
      <c r="I146" s="4" t="n">
        <v>43503.76</v>
      </c>
      <c r="J146" t="inlineStr">
        <is>
          <t>actif</t>
        </is>
      </c>
    </row>
    <row r="147">
      <c r="A147" t="inlineStr">
        <is>
          <t>CTR-00148</t>
        </is>
      </c>
      <c r="B147" t="inlineStr">
        <is>
          <t>CLI-01061</t>
        </is>
      </c>
      <c r="C147" t="inlineStr">
        <is>
          <t>Guyane</t>
        </is>
      </c>
      <c r="D147" t="inlineStr">
        <is>
          <t>materiel</t>
        </is>
      </c>
      <c r="E147" t="inlineStr">
        <is>
          <t>crédit-bail</t>
        </is>
      </c>
      <c r="F147" t="inlineStr">
        <is>
          <t>2025-02-20</t>
        </is>
      </c>
      <c r="G147" s="4" t="n">
        <v>118734.32</v>
      </c>
      <c r="H147" s="4">
        <f>MAX(0,G147-SUMIFS('Paiements contrat'!$B:$B,'Paiements contrat'!$A:$A,A147))</f>
        <v/>
      </c>
      <c r="I147" s="4" t="n">
        <v>77515.34</v>
      </c>
      <c r="J147" t="inlineStr">
        <is>
          <t>actif</t>
        </is>
      </c>
    </row>
    <row r="148">
      <c r="A148" t="inlineStr">
        <is>
          <t>CTR-00149</t>
        </is>
      </c>
      <c r="B148" t="inlineStr">
        <is>
          <t>CLI-00825</t>
        </is>
      </c>
      <c r="C148" t="inlineStr">
        <is>
          <t>Île-de-France</t>
        </is>
      </c>
      <c r="D148" t="inlineStr">
        <is>
          <t>auto</t>
        </is>
      </c>
      <c r="E148" t="inlineStr">
        <is>
          <t>LLD</t>
        </is>
      </c>
      <c r="F148" t="inlineStr">
        <is>
          <t>2024-04-22</t>
        </is>
      </c>
      <c r="G148" s="4" t="n">
        <v>63602.9</v>
      </c>
      <c r="H148" s="4">
        <f>MAX(0,G148-SUMIFS('Paiements contrat'!$B:$B,'Paiements contrat'!$A:$A,A148))</f>
        <v/>
      </c>
      <c r="I148" s="4" t="n">
        <v>30687.87239541741</v>
      </c>
      <c r="J148" t="inlineStr">
        <is>
          <t>actif</t>
        </is>
      </c>
    </row>
    <row r="149">
      <c r="A149" t="inlineStr">
        <is>
          <t>CTR-00150</t>
        </is>
      </c>
      <c r="B149" t="inlineStr">
        <is>
          <t>CLI-00830</t>
        </is>
      </c>
      <c r="C149" t="inlineStr">
        <is>
          <t>Île-de-France</t>
        </is>
      </c>
      <c r="D149" t="inlineStr">
        <is>
          <t>bateau</t>
        </is>
      </c>
      <c r="E149" t="inlineStr">
        <is>
          <t>LOA</t>
        </is>
      </c>
      <c r="F149" t="inlineStr">
        <is>
          <t>2025-10-27</t>
        </is>
      </c>
      <c r="G149" s="4" t="n">
        <v>184428.31</v>
      </c>
      <c r="H149" s="4">
        <f>MAX(0,G149-SUMIFS('Paiements contrat'!$B:$B,'Paiements contrat'!$A:$A,A149))</f>
        <v/>
      </c>
      <c r="I149" s="4" t="n">
        <v>173559.79</v>
      </c>
      <c r="J149" t="inlineStr">
        <is>
          <t>actif</t>
        </is>
      </c>
    </row>
    <row r="150">
      <c r="A150" t="inlineStr">
        <is>
          <t>CTR-00151</t>
        </is>
      </c>
      <c r="B150" t="inlineStr">
        <is>
          <t>CLI-00660</t>
        </is>
      </c>
      <c r="C150" t="inlineStr">
        <is>
          <t>Île-de-France</t>
        </is>
      </c>
      <c r="D150" t="inlineStr">
        <is>
          <t>auto</t>
        </is>
      </c>
      <c r="E150" t="inlineStr">
        <is>
          <t>LLD</t>
        </is>
      </c>
      <c r="F150" t="inlineStr">
        <is>
          <t>2026-02-27</t>
        </is>
      </c>
      <c r="G150" s="4" t="n">
        <v>61408.98</v>
      </c>
      <c r="H150" s="4">
        <f>MAX(0,G150-SUMIFS('Paiements contrat'!$B:$B,'Paiements contrat'!$A:$A,A150))</f>
        <v/>
      </c>
      <c r="I150" s="4" t="n">
        <v>59788.87</v>
      </c>
      <c r="J150" t="inlineStr">
        <is>
          <t>actif</t>
        </is>
      </c>
    </row>
    <row r="151">
      <c r="A151" t="inlineStr">
        <is>
          <t>CTR-00152</t>
        </is>
      </c>
      <c r="B151" t="inlineStr">
        <is>
          <t>CLI-00821</t>
        </is>
      </c>
      <c r="C151" t="inlineStr">
        <is>
          <t>Martinique</t>
        </is>
      </c>
      <c r="D151" t="inlineStr">
        <is>
          <t>materiel</t>
        </is>
      </c>
      <c r="E151" t="inlineStr">
        <is>
          <t>crédit-bail</t>
        </is>
      </c>
      <c r="F151" t="inlineStr">
        <is>
          <t>2024-04-09</t>
        </is>
      </c>
      <c r="G151" s="4" t="n">
        <v>74848.05</v>
      </c>
      <c r="H151" s="4">
        <f>MAX(0,G151-SUMIFS('Paiements contrat'!$B:$B,'Paiements contrat'!$A:$A,A151))</f>
        <v/>
      </c>
      <c r="I151" s="4" t="n">
        <v>14504.48084195731</v>
      </c>
      <c r="J151" t="inlineStr">
        <is>
          <t>actif</t>
        </is>
      </c>
    </row>
    <row r="152">
      <c r="A152" t="inlineStr">
        <is>
          <t>CTR-00153</t>
        </is>
      </c>
      <c r="B152" t="inlineStr">
        <is>
          <t>CLI-00651</t>
        </is>
      </c>
      <c r="C152" t="inlineStr">
        <is>
          <t>Île-de-France</t>
        </is>
      </c>
      <c r="D152" t="inlineStr">
        <is>
          <t>auto</t>
        </is>
      </c>
      <c r="E152" t="inlineStr">
        <is>
          <t>LLD</t>
        </is>
      </c>
      <c r="F152" t="inlineStr">
        <is>
          <t>2025-09-17</t>
        </is>
      </c>
      <c r="G152" s="4" t="n">
        <v>15494.53</v>
      </c>
      <c r="H152" s="4">
        <f>MAX(0,G152-SUMIFS('Paiements contrat'!$B:$B,'Paiements contrat'!$A:$A,A152))</f>
        <v/>
      </c>
      <c r="I152" s="4" t="n">
        <v>14609.13</v>
      </c>
      <c r="J152" t="inlineStr">
        <is>
          <t>actif</t>
        </is>
      </c>
    </row>
    <row r="153">
      <c r="A153" t="inlineStr">
        <is>
          <t>CTR-00154</t>
        </is>
      </c>
      <c r="B153" t="inlineStr">
        <is>
          <t>CLI-00314</t>
        </is>
      </c>
      <c r="C153" t="inlineStr">
        <is>
          <t>Île-de-France</t>
        </is>
      </c>
      <c r="D153" t="inlineStr">
        <is>
          <t>materiel</t>
        </is>
      </c>
      <c r="E153" t="inlineStr">
        <is>
          <t>crédit-bail</t>
        </is>
      </c>
      <c r="F153" t="inlineStr">
        <is>
          <t>2025-07-12</t>
        </is>
      </c>
      <c r="G153" s="4" t="n">
        <v>80479.28</v>
      </c>
      <c r="H153" s="4">
        <f>MAX(0,G153-SUMIFS('Paiements contrat'!$B:$B,'Paiements contrat'!$A:$A,A153))</f>
        <v/>
      </c>
      <c r="I153" s="4" t="n">
        <v>68142.17999999999</v>
      </c>
      <c r="J153" t="inlineStr">
        <is>
          <t>actif</t>
        </is>
      </c>
    </row>
    <row r="154">
      <c r="A154" t="inlineStr">
        <is>
          <t>CTR-00155</t>
        </is>
      </c>
      <c r="B154" t="inlineStr">
        <is>
          <t>CLI-00934</t>
        </is>
      </c>
      <c r="C154" t="inlineStr">
        <is>
          <t>Île-de-France</t>
        </is>
      </c>
      <c r="D154" t="inlineStr">
        <is>
          <t>bateau</t>
        </is>
      </c>
      <c r="E154" t="inlineStr">
        <is>
          <t>LOA</t>
        </is>
      </c>
      <c r="F154" t="inlineStr">
        <is>
          <t>2024-07-16</t>
        </is>
      </c>
      <c r="G154" s="4" t="n">
        <v>249668.54</v>
      </c>
      <c r="H154" s="4">
        <f>MAX(0,G154-SUMIFS('Paiements contrat'!$B:$B,'Paiements contrat'!$A:$A,A154))</f>
        <v/>
      </c>
      <c r="I154" s="4" t="n">
        <v>80274.75488333104</v>
      </c>
      <c r="J154" t="inlineStr">
        <is>
          <t>actif</t>
        </is>
      </c>
    </row>
    <row r="155">
      <c r="A155" t="inlineStr">
        <is>
          <t>CTR-00156</t>
        </is>
      </c>
      <c r="B155" t="inlineStr">
        <is>
          <t>CLI-00815</t>
        </is>
      </c>
      <c r="C155" t="inlineStr">
        <is>
          <t>Guadeloupe</t>
        </is>
      </c>
      <c r="D155" t="inlineStr">
        <is>
          <t>materiel</t>
        </is>
      </c>
      <c r="E155" t="inlineStr">
        <is>
          <t>crédit-bail</t>
        </is>
      </c>
      <c r="F155" t="inlineStr">
        <is>
          <t>2026-01-22</t>
        </is>
      </c>
      <c r="G155" s="4" t="n">
        <v>184982.11</v>
      </c>
      <c r="H155" s="4">
        <f>MAX(0,G155-SUMIFS('Paiements contrat'!$B:$B,'Paiements contrat'!$A:$A,A155))</f>
        <v/>
      </c>
      <c r="I155" s="4" t="n">
        <v>165586.43</v>
      </c>
      <c r="J155" t="inlineStr">
        <is>
          <t>actif</t>
        </is>
      </c>
    </row>
    <row r="156">
      <c r="A156" t="inlineStr">
        <is>
          <t>CTR-00157</t>
        </is>
      </c>
      <c r="B156" t="inlineStr">
        <is>
          <t>CLI-00867</t>
        </is>
      </c>
      <c r="C156" t="inlineStr">
        <is>
          <t>Île-de-France</t>
        </is>
      </c>
      <c r="D156" t="inlineStr">
        <is>
          <t>materiel</t>
        </is>
      </c>
      <c r="E156" t="inlineStr">
        <is>
          <t>crédit-bail</t>
        </is>
      </c>
      <c r="F156" t="inlineStr">
        <is>
          <t>2025-01-20</t>
        </is>
      </c>
      <c r="G156" s="4" t="n">
        <v>198061.26</v>
      </c>
      <c r="H156" s="4">
        <f>MAX(0,G156-SUMIFS('Paiements contrat'!$B:$B,'Paiements contrat'!$A:$A,A156))</f>
        <v/>
      </c>
      <c r="I156" s="4" t="n">
        <v>136938.61</v>
      </c>
      <c r="J156" t="inlineStr">
        <is>
          <t>actif</t>
        </is>
      </c>
    </row>
    <row r="157">
      <c r="A157" t="inlineStr">
        <is>
          <t>CTR-00158</t>
        </is>
      </c>
      <c r="B157" t="inlineStr">
        <is>
          <t>CLI-00023</t>
        </is>
      </c>
      <c r="C157" t="inlineStr">
        <is>
          <t>Île-de-France</t>
        </is>
      </c>
      <c r="D157" t="inlineStr">
        <is>
          <t>auto</t>
        </is>
      </c>
      <c r="E157" t="inlineStr">
        <is>
          <t>LOA</t>
        </is>
      </c>
      <c r="F157" t="inlineStr">
        <is>
          <t>2024-05-14</t>
        </is>
      </c>
      <c r="G157" s="4" t="n">
        <v>39485.9</v>
      </c>
      <c r="H157" s="4">
        <f>MAX(0,G157-SUMIFS('Paiements contrat'!$B:$B,'Paiements contrat'!$A:$A,A157))</f>
        <v/>
      </c>
      <c r="I157" s="4" t="n">
        <v>8234.66</v>
      </c>
      <c r="J157" t="inlineStr">
        <is>
          <t>actif</t>
        </is>
      </c>
    </row>
    <row r="158">
      <c r="A158" t="inlineStr">
        <is>
          <t>CTR-00159</t>
        </is>
      </c>
      <c r="B158" t="inlineStr">
        <is>
          <t>CLI-00392</t>
        </is>
      </c>
      <c r="C158" t="inlineStr">
        <is>
          <t>Guyane</t>
        </is>
      </c>
      <c r="D158" t="inlineStr">
        <is>
          <t>materiel</t>
        </is>
      </c>
      <c r="E158" t="inlineStr">
        <is>
          <t>crédit-bail</t>
        </is>
      </c>
      <c r="F158" t="inlineStr">
        <is>
          <t>2024-09-12</t>
        </is>
      </c>
      <c r="G158" s="4" t="n">
        <v>77798.14999999999</v>
      </c>
      <c r="H158" s="4">
        <f>MAX(0,G158-SUMIFS('Paiements contrat'!$B:$B,'Paiements contrat'!$A:$A,A158))</f>
        <v/>
      </c>
      <c r="I158" s="4" t="n">
        <v>20676.63</v>
      </c>
      <c r="J158" t="inlineStr">
        <is>
          <t>actif</t>
        </is>
      </c>
    </row>
    <row r="159">
      <c r="A159" t="inlineStr">
        <is>
          <t>CTR-00160</t>
        </is>
      </c>
      <c r="B159" t="inlineStr">
        <is>
          <t>CLI-00804</t>
        </is>
      </c>
      <c r="C159" t="inlineStr">
        <is>
          <t>Réunion</t>
        </is>
      </c>
      <c r="D159" t="inlineStr">
        <is>
          <t>materiel</t>
        </is>
      </c>
      <c r="E159" t="inlineStr">
        <is>
          <t>crédit-bail</t>
        </is>
      </c>
      <c r="F159" t="inlineStr">
        <is>
          <t>2025-02-01</t>
        </is>
      </c>
      <c r="G159" s="4" t="n">
        <v>82625.86</v>
      </c>
      <c r="H159" s="4">
        <f>MAX(0,G159-SUMIFS('Paiements contrat'!$B:$B,'Paiements contrat'!$A:$A,A159))</f>
        <v/>
      </c>
      <c r="I159" s="4" t="n">
        <v>43047.82</v>
      </c>
      <c r="J159" t="inlineStr">
        <is>
          <t>actif</t>
        </is>
      </c>
    </row>
    <row r="160">
      <c r="A160" t="inlineStr">
        <is>
          <t>CTR-00161</t>
        </is>
      </c>
      <c r="B160" t="inlineStr">
        <is>
          <t>CLI-00749</t>
        </is>
      </c>
      <c r="C160" t="inlineStr">
        <is>
          <t>Île-de-France</t>
        </is>
      </c>
      <c r="D160" t="inlineStr">
        <is>
          <t>auto</t>
        </is>
      </c>
      <c r="E160" t="inlineStr">
        <is>
          <t>LOA</t>
        </is>
      </c>
      <c r="F160" t="inlineStr">
        <is>
          <t>2025-03-02</t>
        </is>
      </c>
      <c r="G160" s="4" t="n">
        <v>18650.89</v>
      </c>
      <c r="H160" s="4">
        <f>MAX(0,G160-SUMIFS('Paiements contrat'!$B:$B,'Paiements contrat'!$A:$A,A160))</f>
        <v/>
      </c>
      <c r="I160" s="4" t="n">
        <v>8449.32</v>
      </c>
      <c r="J160" t="inlineStr">
        <is>
          <t>actif</t>
        </is>
      </c>
    </row>
    <row r="161">
      <c r="A161" t="inlineStr">
        <is>
          <t>CTR-00162</t>
        </is>
      </c>
      <c r="B161" t="inlineStr">
        <is>
          <t>CLI-00953</t>
        </is>
      </c>
      <c r="C161" t="inlineStr">
        <is>
          <t>Guadeloupe</t>
        </is>
      </c>
      <c r="D161" t="inlineStr">
        <is>
          <t>auto</t>
        </is>
      </c>
      <c r="E161" t="inlineStr">
        <is>
          <t>LLD</t>
        </is>
      </c>
      <c r="F161" t="inlineStr">
        <is>
          <t>2025-01-13</t>
        </is>
      </c>
      <c r="G161" s="4" t="n">
        <v>16477.13</v>
      </c>
      <c r="H161" s="4">
        <f>MAX(0,G161-SUMIFS('Paiements contrat'!$B:$B,'Paiements contrat'!$A:$A,A161))</f>
        <v/>
      </c>
      <c r="I161" s="4" t="n">
        <v>7067.710000000001</v>
      </c>
      <c r="J161" t="inlineStr">
        <is>
          <t>actif</t>
        </is>
      </c>
    </row>
    <row r="162">
      <c r="A162" t="inlineStr">
        <is>
          <t>CTR-00163</t>
        </is>
      </c>
      <c r="B162" t="inlineStr">
        <is>
          <t>CLI-01069</t>
        </is>
      </c>
      <c r="C162" t="inlineStr">
        <is>
          <t>Île-de-France</t>
        </is>
      </c>
      <c r="D162" t="inlineStr">
        <is>
          <t>auto</t>
        </is>
      </c>
      <c r="E162" t="inlineStr">
        <is>
          <t>LLD</t>
        </is>
      </c>
      <c r="F162" t="inlineStr">
        <is>
          <t>2024-10-15</t>
        </is>
      </c>
      <c r="G162" s="4" t="n">
        <v>73698.85000000001</v>
      </c>
      <c r="H162" s="4">
        <f>MAX(0,G162-SUMIFS('Paiements contrat'!$B:$B,'Paiements contrat'!$A:$A,A162))</f>
        <v/>
      </c>
      <c r="I162" s="4" t="n">
        <v>16624.87</v>
      </c>
      <c r="J162" t="inlineStr">
        <is>
          <t>actif</t>
        </is>
      </c>
    </row>
    <row r="163">
      <c r="A163" t="inlineStr">
        <is>
          <t>CTR-00164</t>
        </is>
      </c>
      <c r="B163" t="inlineStr">
        <is>
          <t>CLI-00039</t>
        </is>
      </c>
      <c r="C163" t="inlineStr">
        <is>
          <t>Île-de-France</t>
        </is>
      </c>
      <c r="D163" t="inlineStr">
        <is>
          <t>auto</t>
        </is>
      </c>
      <c r="E163" t="inlineStr">
        <is>
          <t>LLD</t>
        </is>
      </c>
      <c r="F163" t="inlineStr">
        <is>
          <t>2024-09-26</t>
        </is>
      </c>
      <c r="G163" s="4" t="n">
        <v>56474.88</v>
      </c>
      <c r="H163" s="4">
        <f>MAX(0,G163-SUMIFS('Paiements contrat'!$B:$B,'Paiements contrat'!$A:$A,A163))</f>
        <v/>
      </c>
      <c r="I163" s="4" t="n">
        <v>975.8792362888416</v>
      </c>
      <c r="J163" t="inlineStr">
        <is>
          <t>actif</t>
        </is>
      </c>
    </row>
    <row r="164">
      <c r="A164" t="inlineStr">
        <is>
          <t>CTR-00165</t>
        </is>
      </c>
      <c r="B164" t="inlineStr">
        <is>
          <t>CLI-00546</t>
        </is>
      </c>
      <c r="C164" t="inlineStr">
        <is>
          <t>Guyane</t>
        </is>
      </c>
      <c r="D164" t="inlineStr">
        <is>
          <t>materiel</t>
        </is>
      </c>
      <c r="E164" t="inlineStr">
        <is>
          <t>crédit-bail</t>
        </is>
      </c>
      <c r="F164" t="inlineStr">
        <is>
          <t>2026-03-11</t>
        </is>
      </c>
      <c r="G164" s="4" t="n">
        <v>161553.93</v>
      </c>
      <c r="H164" s="4">
        <f>MAX(0,G164-SUMIFS('Paiements contrat'!$B:$B,'Paiements contrat'!$A:$A,A164))</f>
        <v/>
      </c>
      <c r="I164" s="4" t="n">
        <v>161553.93</v>
      </c>
      <c r="J164" t="inlineStr">
        <is>
          <t>actif</t>
        </is>
      </c>
    </row>
    <row r="165">
      <c r="A165" t="inlineStr">
        <is>
          <t>CTR-00166</t>
        </is>
      </c>
      <c r="B165" t="inlineStr">
        <is>
          <t>CLI-00253</t>
        </is>
      </c>
      <c r="C165" t="inlineStr">
        <is>
          <t>Martinique</t>
        </is>
      </c>
      <c r="D165" t="inlineStr">
        <is>
          <t>auto</t>
        </is>
      </c>
      <c r="E165" t="inlineStr">
        <is>
          <t>LOA</t>
        </is>
      </c>
      <c r="F165" t="inlineStr">
        <is>
          <t>2025-04-14</t>
        </is>
      </c>
      <c r="G165" s="4" t="n">
        <v>26843.48</v>
      </c>
      <c r="H165" s="4">
        <f>MAX(0,G165-SUMIFS('Paiements contrat'!$B:$B,'Paiements contrat'!$A:$A,A165))</f>
        <v/>
      </c>
      <c r="I165" s="4" t="n">
        <v>14936.7</v>
      </c>
      <c r="J165" t="inlineStr">
        <is>
          <t>actif</t>
        </is>
      </c>
    </row>
    <row r="166">
      <c r="A166" t="inlineStr">
        <is>
          <t>CTR-00167</t>
        </is>
      </c>
      <c r="B166" t="inlineStr">
        <is>
          <t>CLI-00398</t>
        </is>
      </c>
      <c r="C166" t="inlineStr">
        <is>
          <t>Réunion</t>
        </is>
      </c>
      <c r="D166" t="inlineStr">
        <is>
          <t>auto</t>
        </is>
      </c>
      <c r="E166" t="inlineStr">
        <is>
          <t>LOA</t>
        </is>
      </c>
      <c r="F166" t="inlineStr">
        <is>
          <t>2024-07-08</t>
        </is>
      </c>
      <c r="G166" s="4" t="n">
        <v>12163.74</v>
      </c>
      <c r="H166" s="4">
        <f>MAX(0,G166-SUMIFS('Paiements contrat'!$B:$B,'Paiements contrat'!$A:$A,A166))</f>
        <v/>
      </c>
      <c r="I166" s="4" t="n">
        <v>4539.55</v>
      </c>
      <c r="J166" t="inlineStr">
        <is>
          <t>actif</t>
        </is>
      </c>
    </row>
    <row r="167">
      <c r="A167" t="inlineStr">
        <is>
          <t>CTR-00168</t>
        </is>
      </c>
      <c r="B167" t="inlineStr">
        <is>
          <t>CLI-00229</t>
        </is>
      </c>
      <c r="C167" t="inlineStr">
        <is>
          <t>Martinique</t>
        </is>
      </c>
      <c r="D167" t="inlineStr">
        <is>
          <t>materiel</t>
        </is>
      </c>
      <c r="E167" t="inlineStr">
        <is>
          <t>crédit-bail</t>
        </is>
      </c>
      <c r="F167" t="inlineStr">
        <is>
          <t>2025-02-23</t>
        </is>
      </c>
      <c r="G167" s="4" t="n">
        <v>103842.33</v>
      </c>
      <c r="H167" s="4">
        <f>MAX(0,G167-SUMIFS('Paiements contrat'!$B:$B,'Paiements contrat'!$A:$A,A167))</f>
        <v/>
      </c>
      <c r="I167" s="4" t="n">
        <v>68236.59</v>
      </c>
      <c r="J167" t="inlineStr">
        <is>
          <t>actif</t>
        </is>
      </c>
    </row>
    <row r="168">
      <c r="A168" t="inlineStr">
        <is>
          <t>CTR-00169</t>
        </is>
      </c>
      <c r="B168" t="inlineStr">
        <is>
          <t>CLI-01325</t>
        </is>
      </c>
      <c r="C168" t="inlineStr">
        <is>
          <t>Île-de-France</t>
        </is>
      </c>
      <c r="D168" t="inlineStr">
        <is>
          <t>auto</t>
        </is>
      </c>
      <c r="E168" t="inlineStr">
        <is>
          <t>LOA</t>
        </is>
      </c>
      <c r="F168" t="inlineStr">
        <is>
          <t>2024-09-17</t>
        </is>
      </c>
      <c r="G168" s="4" t="n">
        <v>27425.58</v>
      </c>
      <c r="H168" s="4">
        <f>MAX(0,G168-SUMIFS('Paiements contrat'!$B:$B,'Paiements contrat'!$A:$A,A168))</f>
        <v/>
      </c>
      <c r="I168" s="4" t="n">
        <v>20716.85</v>
      </c>
      <c r="J168" t="inlineStr">
        <is>
          <t>actif</t>
        </is>
      </c>
    </row>
    <row r="169">
      <c r="A169" t="inlineStr">
        <is>
          <t>CTR-00170</t>
        </is>
      </c>
      <c r="B169" t="inlineStr">
        <is>
          <t>CLI-01107</t>
        </is>
      </c>
      <c r="C169" t="inlineStr">
        <is>
          <t>Île-de-France</t>
        </is>
      </c>
      <c r="D169" t="inlineStr">
        <is>
          <t>materiel</t>
        </is>
      </c>
      <c r="E169" t="inlineStr">
        <is>
          <t>crédit-bail</t>
        </is>
      </c>
      <c r="F169" t="inlineStr">
        <is>
          <t>2024-11-08</t>
        </is>
      </c>
      <c r="G169" s="4" t="n">
        <v>20989.24</v>
      </c>
      <c r="H169" s="4">
        <f>MAX(0,G169-SUMIFS('Paiements contrat'!$B:$B,'Paiements contrat'!$A:$A,A169))</f>
        <v/>
      </c>
      <c r="I169" s="4" t="n">
        <v>16210.06</v>
      </c>
      <c r="J169" t="inlineStr">
        <is>
          <t>actif</t>
        </is>
      </c>
    </row>
    <row r="170">
      <c r="A170" t="inlineStr">
        <is>
          <t>CTR-00171</t>
        </is>
      </c>
      <c r="B170" t="inlineStr">
        <is>
          <t>CLI-00645</t>
        </is>
      </c>
      <c r="C170" t="inlineStr">
        <is>
          <t>Réunion</t>
        </is>
      </c>
      <c r="D170" t="inlineStr">
        <is>
          <t>auto</t>
        </is>
      </c>
      <c r="E170" t="inlineStr">
        <is>
          <t>LLD</t>
        </is>
      </c>
      <c r="F170" t="inlineStr">
        <is>
          <t>2025-11-19</t>
        </is>
      </c>
      <c r="G170" s="4" t="n">
        <v>49275.28</v>
      </c>
      <c r="H170" s="4">
        <f>MAX(0,G170-SUMIFS('Paiements contrat'!$B:$B,'Paiements contrat'!$A:$A,A170))</f>
        <v/>
      </c>
      <c r="I170" s="4" t="n">
        <v>41318.22</v>
      </c>
      <c r="J170" t="inlineStr">
        <is>
          <t>actif</t>
        </is>
      </c>
    </row>
    <row r="171">
      <c r="A171" t="inlineStr">
        <is>
          <t>CTR-00172</t>
        </is>
      </c>
      <c r="B171" t="inlineStr">
        <is>
          <t>CLI-00503</t>
        </is>
      </c>
      <c r="C171" t="inlineStr">
        <is>
          <t>Île-de-France</t>
        </is>
      </c>
      <c r="D171" t="inlineStr">
        <is>
          <t>materiel</t>
        </is>
      </c>
      <c r="E171" t="inlineStr">
        <is>
          <t>crédit-bail</t>
        </is>
      </c>
      <c r="F171" t="inlineStr">
        <is>
          <t>2024-08-10</t>
        </is>
      </c>
      <c r="G171" s="4" t="n">
        <v>166097.04</v>
      </c>
      <c r="H171" s="4">
        <f>MAX(0,G171-SUMIFS('Paiements contrat'!$B:$B,'Paiements contrat'!$A:$A,A171))</f>
        <v/>
      </c>
      <c r="I171" s="4" t="n">
        <v>117728.374553226</v>
      </c>
      <c r="J171" t="inlineStr">
        <is>
          <t>actif</t>
        </is>
      </c>
    </row>
    <row r="172">
      <c r="A172" t="inlineStr">
        <is>
          <t>CTR-00173</t>
        </is>
      </c>
      <c r="B172" t="inlineStr">
        <is>
          <t>CLI-00358</t>
        </is>
      </c>
      <c r="C172" t="inlineStr">
        <is>
          <t>Martinique</t>
        </is>
      </c>
      <c r="D172" t="inlineStr">
        <is>
          <t>auto</t>
        </is>
      </c>
      <c r="E172" t="inlineStr">
        <is>
          <t>LLD</t>
        </is>
      </c>
      <c r="F172" t="inlineStr">
        <is>
          <t>2025-10-08</t>
        </is>
      </c>
      <c r="G172" s="4" t="n">
        <v>61974.99</v>
      </c>
      <c r="H172" s="4">
        <f>MAX(0,G172-SUMIFS('Paiements contrat'!$B:$B,'Paiements contrat'!$A:$A,A172))</f>
        <v/>
      </c>
      <c r="I172" s="4" t="n">
        <v>58682.66744655977</v>
      </c>
      <c r="J172" t="inlineStr">
        <is>
          <t>actif</t>
        </is>
      </c>
    </row>
    <row r="173">
      <c r="A173" t="inlineStr">
        <is>
          <t>CTR-00174</t>
        </is>
      </c>
      <c r="B173" t="inlineStr">
        <is>
          <t>CLI-00880</t>
        </is>
      </c>
      <c r="C173" t="inlineStr">
        <is>
          <t>Réunion</t>
        </is>
      </c>
      <c r="D173" t="inlineStr">
        <is>
          <t>bateau</t>
        </is>
      </c>
      <c r="E173" t="inlineStr">
        <is>
          <t>LOA</t>
        </is>
      </c>
      <c r="F173" t="inlineStr">
        <is>
          <t>2025-02-24</t>
        </is>
      </c>
      <c r="G173" s="4" t="n">
        <v>120887.03</v>
      </c>
      <c r="H173" s="4">
        <f>MAX(0,G173-SUMIFS('Paiements contrat'!$B:$B,'Paiements contrat'!$A:$A,A173))</f>
        <v/>
      </c>
      <c r="I173" s="4" t="n">
        <v>82377.51000000001</v>
      </c>
      <c r="J173" t="inlineStr">
        <is>
          <t>actif</t>
        </is>
      </c>
    </row>
    <row r="174">
      <c r="A174" t="inlineStr">
        <is>
          <t>CTR-00175</t>
        </is>
      </c>
      <c r="B174" t="inlineStr">
        <is>
          <t>CLI-01116</t>
        </is>
      </c>
      <c r="C174" t="inlineStr">
        <is>
          <t>Île-de-France</t>
        </is>
      </c>
      <c r="D174" t="inlineStr">
        <is>
          <t>auto</t>
        </is>
      </c>
      <c r="E174" t="inlineStr">
        <is>
          <t>LOA</t>
        </is>
      </c>
      <c r="F174" t="inlineStr">
        <is>
          <t>2024-07-19</t>
        </is>
      </c>
      <c r="G174" s="4" t="n">
        <v>43251.11</v>
      </c>
      <c r="H174" s="4">
        <f>MAX(0,G174-SUMIFS('Paiements contrat'!$B:$B,'Paiements contrat'!$A:$A,A174))</f>
        <v/>
      </c>
      <c r="I174" s="4" t="n">
        <v>11147.41</v>
      </c>
      <c r="J174" t="inlineStr">
        <is>
          <t>actif</t>
        </is>
      </c>
    </row>
    <row r="175">
      <c r="A175" t="inlineStr">
        <is>
          <t>CTR-00176</t>
        </is>
      </c>
      <c r="B175" t="inlineStr">
        <is>
          <t>CLI-00602</t>
        </is>
      </c>
      <c r="C175" t="inlineStr">
        <is>
          <t>Martinique</t>
        </is>
      </c>
      <c r="D175" t="inlineStr">
        <is>
          <t>auto</t>
        </is>
      </c>
      <c r="E175" t="inlineStr">
        <is>
          <t>LLD</t>
        </is>
      </c>
      <c r="F175" t="inlineStr">
        <is>
          <t>2025-06-13</t>
        </is>
      </c>
      <c r="G175" s="4" t="n">
        <v>53701.6</v>
      </c>
      <c r="H175" s="4">
        <f>MAX(0,G175-SUMIFS('Paiements contrat'!$B:$B,'Paiements contrat'!$A:$A,A175))</f>
        <v/>
      </c>
      <c r="I175" s="4" t="n">
        <v>41495.75999999999</v>
      </c>
      <c r="J175" t="inlineStr">
        <is>
          <t>actif</t>
        </is>
      </c>
    </row>
    <row r="176">
      <c r="A176" t="inlineStr">
        <is>
          <t>CTR-00177</t>
        </is>
      </c>
      <c r="B176" t="inlineStr">
        <is>
          <t>CLI-01115</t>
        </is>
      </c>
      <c r="C176" t="inlineStr">
        <is>
          <t>Île-de-France</t>
        </is>
      </c>
      <c r="D176" t="inlineStr">
        <is>
          <t>auto</t>
        </is>
      </c>
      <c r="E176" t="inlineStr">
        <is>
          <t>LOA</t>
        </is>
      </c>
      <c r="F176" t="inlineStr">
        <is>
          <t>2024-07-12</t>
        </is>
      </c>
      <c r="G176" s="4" t="n">
        <v>42383.18</v>
      </c>
      <c r="H176" s="4">
        <f>MAX(0,G176-SUMIFS('Paiements contrat'!$B:$B,'Paiements contrat'!$A:$A,A176))</f>
        <v/>
      </c>
      <c r="I176" s="4" t="n">
        <v>27834.17</v>
      </c>
      <c r="J176" t="inlineStr">
        <is>
          <t>actif</t>
        </is>
      </c>
    </row>
    <row r="177">
      <c r="A177" t="inlineStr">
        <is>
          <t>CTR-00178</t>
        </is>
      </c>
      <c r="B177" t="inlineStr">
        <is>
          <t>CLI-00414</t>
        </is>
      </c>
      <c r="C177" t="inlineStr">
        <is>
          <t>Île-de-France</t>
        </is>
      </c>
      <c r="D177" t="inlineStr">
        <is>
          <t>auto</t>
        </is>
      </c>
      <c r="E177" t="inlineStr">
        <is>
          <t>LOA</t>
        </is>
      </c>
      <c r="F177" t="inlineStr">
        <is>
          <t>2024-11-03</t>
        </is>
      </c>
      <c r="G177" s="4" t="n">
        <v>70121.69</v>
      </c>
      <c r="H177" s="4">
        <f>MAX(0,G177-SUMIFS('Paiements contrat'!$B:$B,'Paiements contrat'!$A:$A,A177))</f>
        <v/>
      </c>
      <c r="I177" s="4" t="n">
        <v>47429.16856662097</v>
      </c>
      <c r="J177" t="inlineStr">
        <is>
          <t>actif</t>
        </is>
      </c>
    </row>
    <row r="178">
      <c r="A178" t="inlineStr">
        <is>
          <t>CTR-00179</t>
        </is>
      </c>
      <c r="B178" t="inlineStr">
        <is>
          <t>CLI-01252</t>
        </is>
      </c>
      <c r="C178" t="inlineStr">
        <is>
          <t>Île-de-France</t>
        </is>
      </c>
      <c r="D178" t="inlineStr">
        <is>
          <t>auto</t>
        </is>
      </c>
      <c r="E178" t="inlineStr">
        <is>
          <t>LLD</t>
        </is>
      </c>
      <c r="F178" t="inlineStr">
        <is>
          <t>2025-04-07</t>
        </is>
      </c>
      <c r="G178" s="4" t="n">
        <v>33064.03</v>
      </c>
      <c r="H178" s="4">
        <f>MAX(0,G178-SUMIFS('Paiements contrat'!$B:$B,'Paiements contrat'!$A:$A,A178))</f>
        <v/>
      </c>
      <c r="I178" s="4" t="n">
        <v>14962.76</v>
      </c>
      <c r="J178" t="inlineStr">
        <is>
          <t>actif</t>
        </is>
      </c>
    </row>
    <row r="179">
      <c r="A179" t="inlineStr">
        <is>
          <t>CTR-00180</t>
        </is>
      </c>
      <c r="B179" t="inlineStr">
        <is>
          <t>CLI-00224</t>
        </is>
      </c>
      <c r="C179" t="inlineStr">
        <is>
          <t>Guadeloupe</t>
        </is>
      </c>
      <c r="D179" t="inlineStr">
        <is>
          <t>auto</t>
        </is>
      </c>
      <c r="E179" t="inlineStr">
        <is>
          <t>LOA</t>
        </is>
      </c>
      <c r="F179" t="inlineStr">
        <is>
          <t>2026-02-22</t>
        </is>
      </c>
      <c r="G179" s="4" t="n">
        <v>50420.78</v>
      </c>
      <c r="H179" s="4">
        <f>MAX(0,G179-SUMIFS('Paiements contrat'!$B:$B,'Paiements contrat'!$A:$A,A179))</f>
        <v/>
      </c>
      <c r="I179" s="4" t="n">
        <v>48900.66</v>
      </c>
      <c r="J179" t="inlineStr">
        <is>
          <t>actif</t>
        </is>
      </c>
    </row>
    <row r="180">
      <c r="A180" t="inlineStr">
        <is>
          <t>CTR-00181</t>
        </is>
      </c>
      <c r="B180" t="inlineStr">
        <is>
          <t>CLI-00603</t>
        </is>
      </c>
      <c r="C180" t="inlineStr">
        <is>
          <t>Martinique</t>
        </is>
      </c>
      <c r="D180" t="inlineStr">
        <is>
          <t>auto</t>
        </is>
      </c>
      <c r="E180" t="inlineStr">
        <is>
          <t>LOA</t>
        </is>
      </c>
      <c r="F180" t="inlineStr">
        <is>
          <t>2025-05-07</t>
        </is>
      </c>
      <c r="G180" s="4" t="n">
        <v>11244.48</v>
      </c>
      <c r="H180" s="4">
        <f>MAX(0,G180-SUMIFS('Paiements contrat'!$B:$B,'Paiements contrat'!$A:$A,A180))</f>
        <v/>
      </c>
      <c r="I180" s="4" t="n">
        <v>7762.309999999999</v>
      </c>
      <c r="J180" t="inlineStr">
        <is>
          <t>actif</t>
        </is>
      </c>
    </row>
    <row r="181">
      <c r="A181" t="inlineStr">
        <is>
          <t>CTR-00182</t>
        </is>
      </c>
      <c r="B181" t="inlineStr">
        <is>
          <t>CLI-00202</t>
        </is>
      </c>
      <c r="C181" t="inlineStr">
        <is>
          <t>Île-de-France</t>
        </is>
      </c>
      <c r="D181" t="inlineStr">
        <is>
          <t>materiel</t>
        </is>
      </c>
      <c r="E181" t="inlineStr">
        <is>
          <t>crédit-bail</t>
        </is>
      </c>
      <c r="F181" t="inlineStr">
        <is>
          <t>2024-08-18</t>
        </is>
      </c>
      <c r="G181" s="4" t="n">
        <v>135036.92</v>
      </c>
      <c r="H181" s="4">
        <f>MAX(0,G181-SUMIFS('Paiements contrat'!$B:$B,'Paiements contrat'!$A:$A,A181))</f>
        <v/>
      </c>
      <c r="I181" s="4" t="n">
        <v>78459.72000000002</v>
      </c>
      <c r="J181" t="inlineStr">
        <is>
          <t>actif</t>
        </is>
      </c>
    </row>
    <row r="182">
      <c r="A182" t="inlineStr">
        <is>
          <t>CTR-00183</t>
        </is>
      </c>
      <c r="B182" t="inlineStr">
        <is>
          <t>CLI-01418</t>
        </is>
      </c>
      <c r="C182" t="inlineStr">
        <is>
          <t>Île-de-France</t>
        </is>
      </c>
      <c r="D182" t="inlineStr">
        <is>
          <t>auto</t>
        </is>
      </c>
      <c r="E182" t="inlineStr">
        <is>
          <t>LOA</t>
        </is>
      </c>
      <c r="F182" t="inlineStr">
        <is>
          <t>2024-06-01</t>
        </is>
      </c>
      <c r="G182" s="4" t="n">
        <v>68310.77</v>
      </c>
      <c r="H182" s="4">
        <f>MAX(0,G182-SUMIFS('Paiements contrat'!$B:$B,'Paiements contrat'!$A:$A,A182))</f>
        <v/>
      </c>
      <c r="I182" s="4" t="n">
        <v>35737.25318186873</v>
      </c>
      <c r="J182" t="inlineStr">
        <is>
          <t>actif</t>
        </is>
      </c>
    </row>
    <row r="183">
      <c r="A183" t="inlineStr">
        <is>
          <t>CTR-00184</t>
        </is>
      </c>
      <c r="B183" t="inlineStr">
        <is>
          <t>CLI-00340</t>
        </is>
      </c>
      <c r="C183" t="inlineStr">
        <is>
          <t>Île-de-France</t>
        </is>
      </c>
      <c r="D183" t="inlineStr">
        <is>
          <t>materiel</t>
        </is>
      </c>
      <c r="E183" t="inlineStr">
        <is>
          <t>crédit-bail</t>
        </is>
      </c>
      <c r="F183" t="inlineStr">
        <is>
          <t>2024-04-14</t>
        </is>
      </c>
      <c r="G183" s="4" t="n">
        <v>189116.09</v>
      </c>
      <c r="H183" s="4">
        <f>MAX(0,G183-SUMIFS('Paiements contrat'!$B:$B,'Paiements contrat'!$A:$A,A183))</f>
        <v/>
      </c>
      <c r="I183" s="4" t="n">
        <v>32321.92999999999</v>
      </c>
      <c r="J183" t="inlineStr">
        <is>
          <t>actif</t>
        </is>
      </c>
    </row>
    <row r="184">
      <c r="A184" t="inlineStr">
        <is>
          <t>CTR-00185</t>
        </is>
      </c>
      <c r="B184" t="inlineStr">
        <is>
          <t>CLI-00066</t>
        </is>
      </c>
      <c r="C184" t="inlineStr">
        <is>
          <t>Réunion</t>
        </is>
      </c>
      <c r="D184" t="inlineStr">
        <is>
          <t>auto</t>
        </is>
      </c>
      <c r="E184" t="inlineStr">
        <is>
          <t>LOA</t>
        </is>
      </c>
      <c r="F184" t="inlineStr">
        <is>
          <t>2025-03-01</t>
        </is>
      </c>
      <c r="G184" s="4" t="n">
        <v>53895.63</v>
      </c>
      <c r="H184" s="4">
        <f>MAX(0,G184-SUMIFS('Paiements contrat'!$B:$B,'Paiements contrat'!$A:$A,A184))</f>
        <v/>
      </c>
      <c r="I184" s="4" t="n">
        <v>37845.8</v>
      </c>
      <c r="J184" t="inlineStr">
        <is>
          <t>actif</t>
        </is>
      </c>
    </row>
    <row r="185">
      <c r="A185" t="inlineStr">
        <is>
          <t>CTR-00186</t>
        </is>
      </c>
      <c r="B185" t="inlineStr">
        <is>
          <t>CLI-01334</t>
        </is>
      </c>
      <c r="C185" t="inlineStr">
        <is>
          <t>Île-de-France</t>
        </is>
      </c>
      <c r="D185" t="inlineStr">
        <is>
          <t>auto</t>
        </is>
      </c>
      <c r="E185" t="inlineStr">
        <is>
          <t>LOA</t>
        </is>
      </c>
      <c r="F185" t="inlineStr">
        <is>
          <t>2024-10-21</t>
        </is>
      </c>
      <c r="G185" s="4" t="n">
        <v>15415.2</v>
      </c>
      <c r="H185" s="4">
        <f>MAX(0,G185-SUMIFS('Paiements contrat'!$B:$B,'Paiements contrat'!$A:$A,A185))</f>
        <v/>
      </c>
      <c r="I185" s="4" t="n">
        <v>11471.1568679468</v>
      </c>
      <c r="J185" t="inlineStr">
        <is>
          <t>actif</t>
        </is>
      </c>
    </row>
    <row r="186">
      <c r="A186" t="inlineStr">
        <is>
          <t>CTR-00187</t>
        </is>
      </c>
      <c r="B186" t="inlineStr">
        <is>
          <t>CLI-01198</t>
        </is>
      </c>
      <c r="C186" t="inlineStr">
        <is>
          <t>Réunion</t>
        </is>
      </c>
      <c r="D186" t="inlineStr">
        <is>
          <t>auto</t>
        </is>
      </c>
      <c r="E186" t="inlineStr">
        <is>
          <t>LOA</t>
        </is>
      </c>
      <c r="F186" t="inlineStr">
        <is>
          <t>2026-01-16</t>
        </is>
      </c>
      <c r="G186" s="4" t="n">
        <v>38972.81</v>
      </c>
      <c r="H186" s="4">
        <f>MAX(0,G186-SUMIFS('Paiements contrat'!$B:$B,'Paiements contrat'!$A:$A,A186))</f>
        <v/>
      </c>
      <c r="I186" s="4" t="n">
        <v>36606.99</v>
      </c>
      <c r="J186" t="inlineStr">
        <is>
          <t>actif</t>
        </is>
      </c>
    </row>
    <row r="187">
      <c r="A187" t="inlineStr">
        <is>
          <t>CTR-00188</t>
        </is>
      </c>
      <c r="B187" t="inlineStr">
        <is>
          <t>CLI-00449</t>
        </is>
      </c>
      <c r="C187" t="inlineStr">
        <is>
          <t>Île-de-France</t>
        </is>
      </c>
      <c r="D187" t="inlineStr">
        <is>
          <t>auto</t>
        </is>
      </c>
      <c r="E187" t="inlineStr">
        <is>
          <t>LOA</t>
        </is>
      </c>
      <c r="F187" t="inlineStr">
        <is>
          <t>2024-09-15</t>
        </is>
      </c>
      <c r="G187" s="4" t="n">
        <v>11160.92</v>
      </c>
      <c r="H187" s="4">
        <f>MAX(0,G187-SUMIFS('Paiements contrat'!$B:$B,'Paiements contrat'!$A:$A,A187))</f>
        <v/>
      </c>
      <c r="I187" s="4" t="n">
        <v>6647.51</v>
      </c>
      <c r="J187" t="inlineStr">
        <is>
          <t>actif</t>
        </is>
      </c>
    </row>
    <row r="188">
      <c r="A188" t="inlineStr">
        <is>
          <t>CTR-00189</t>
        </is>
      </c>
      <c r="B188" t="inlineStr">
        <is>
          <t>CLI-00825</t>
        </is>
      </c>
      <c r="C188" t="inlineStr">
        <is>
          <t>Île-de-France</t>
        </is>
      </c>
      <c r="D188" t="inlineStr">
        <is>
          <t>auto</t>
        </is>
      </c>
      <c r="E188" t="inlineStr">
        <is>
          <t>LOA</t>
        </is>
      </c>
      <c r="F188" t="inlineStr">
        <is>
          <t>2024-05-15</t>
        </is>
      </c>
      <c r="G188" s="4" t="n">
        <v>72557.08</v>
      </c>
      <c r="H188" s="4">
        <f>MAX(0,G188-SUMIFS('Paiements contrat'!$B:$B,'Paiements contrat'!$A:$A,A188))</f>
        <v/>
      </c>
      <c r="I188" s="4" t="n">
        <v>34803.09</v>
      </c>
      <c r="J188" t="inlineStr">
        <is>
          <t>actif</t>
        </is>
      </c>
    </row>
    <row r="189">
      <c r="A189" t="inlineStr">
        <is>
          <t>CTR-00190</t>
        </is>
      </c>
      <c r="B189" t="inlineStr">
        <is>
          <t>CLI-00159</t>
        </is>
      </c>
      <c r="C189" t="inlineStr">
        <is>
          <t>Île-de-France</t>
        </is>
      </c>
      <c r="D189" t="inlineStr">
        <is>
          <t>materiel</t>
        </is>
      </c>
      <c r="E189" t="inlineStr">
        <is>
          <t>crédit-bail</t>
        </is>
      </c>
      <c r="F189" t="inlineStr">
        <is>
          <t>2026-03-22</t>
        </is>
      </c>
      <c r="G189" s="4" t="n">
        <v>79328.42</v>
      </c>
      <c r="H189" s="4">
        <f>MAX(0,G189-SUMIFS('Paiements contrat'!$B:$B,'Paiements contrat'!$A:$A,A189))</f>
        <v/>
      </c>
      <c r="I189" s="4" t="n">
        <v>79328.42</v>
      </c>
      <c r="J189" t="inlineStr">
        <is>
          <t>actif</t>
        </is>
      </c>
    </row>
    <row r="190">
      <c r="A190" t="inlineStr">
        <is>
          <t>CTR-00191</t>
        </is>
      </c>
      <c r="B190" t="inlineStr">
        <is>
          <t>CLI-00083</t>
        </is>
      </c>
      <c r="C190" t="inlineStr">
        <is>
          <t>Réunion</t>
        </is>
      </c>
      <c r="D190" t="inlineStr">
        <is>
          <t>auto</t>
        </is>
      </c>
      <c r="E190" t="inlineStr">
        <is>
          <t>LOA</t>
        </is>
      </c>
      <c r="F190" t="inlineStr">
        <is>
          <t>2025-10-07</t>
        </is>
      </c>
      <c r="G190" s="4" t="n">
        <v>27004.27</v>
      </c>
      <c r="H190" s="4">
        <f>MAX(0,G190-SUMIFS('Paiements contrat'!$B:$B,'Paiements contrat'!$A:$A,A190))</f>
        <v/>
      </c>
      <c r="I190" s="4" t="n">
        <v>25092.62</v>
      </c>
      <c r="J190" t="inlineStr">
        <is>
          <t>actif</t>
        </is>
      </c>
    </row>
    <row r="191">
      <c r="A191" t="inlineStr">
        <is>
          <t>CTR-00192</t>
        </is>
      </c>
      <c r="B191" t="inlineStr">
        <is>
          <t>CLI-00109</t>
        </is>
      </c>
      <c r="C191" t="inlineStr">
        <is>
          <t>Réunion</t>
        </is>
      </c>
      <c r="D191" t="inlineStr">
        <is>
          <t>auto</t>
        </is>
      </c>
      <c r="E191" t="inlineStr">
        <is>
          <t>LOA</t>
        </is>
      </c>
      <c r="F191" t="inlineStr">
        <is>
          <t>2025-07-14</t>
        </is>
      </c>
      <c r="G191" s="4" t="n">
        <v>28356.64</v>
      </c>
      <c r="H191" s="4">
        <f>MAX(0,G191-SUMIFS('Paiements contrat'!$B:$B,'Paiements contrat'!$A:$A,A191))</f>
        <v/>
      </c>
      <c r="I191" s="4" t="n">
        <v>22519.86</v>
      </c>
      <c r="J191" t="inlineStr">
        <is>
          <t>actif</t>
        </is>
      </c>
    </row>
    <row r="192">
      <c r="A192" t="inlineStr">
        <is>
          <t>CTR-00193</t>
        </is>
      </c>
      <c r="B192" t="inlineStr">
        <is>
          <t>CLI-00148</t>
        </is>
      </c>
      <c r="C192" t="inlineStr">
        <is>
          <t>Île-de-France</t>
        </is>
      </c>
      <c r="D192" t="inlineStr">
        <is>
          <t>auto</t>
        </is>
      </c>
      <c r="E192" t="inlineStr">
        <is>
          <t>LLD</t>
        </is>
      </c>
      <c r="F192" t="inlineStr">
        <is>
          <t>2025-09-16</t>
        </is>
      </c>
      <c r="G192" s="4" t="n">
        <v>48172.27</v>
      </c>
      <c r="H192" s="4">
        <f>MAX(0,G192-SUMIFS('Paiements contrat'!$B:$B,'Paiements contrat'!$A:$A,A192))</f>
        <v/>
      </c>
      <c r="I192" s="4" t="n">
        <v>38450.3</v>
      </c>
      <c r="J192" t="inlineStr">
        <is>
          <t>actif</t>
        </is>
      </c>
    </row>
    <row r="193">
      <c r="A193" t="inlineStr">
        <is>
          <t>CTR-00194</t>
        </is>
      </c>
      <c r="B193" t="inlineStr">
        <is>
          <t>CLI-00926</t>
        </is>
      </c>
      <c r="C193" t="inlineStr">
        <is>
          <t>Martinique</t>
        </is>
      </c>
      <c r="D193" t="inlineStr">
        <is>
          <t>auto</t>
        </is>
      </c>
      <c r="E193" t="inlineStr">
        <is>
          <t>LOA</t>
        </is>
      </c>
      <c r="F193" t="inlineStr">
        <is>
          <t>2024-12-02</t>
        </is>
      </c>
      <c r="G193" s="4" t="n">
        <v>31147.26</v>
      </c>
      <c r="H193" s="4">
        <f>MAX(0,G193-SUMIFS('Paiements contrat'!$B:$B,'Paiements contrat'!$A:$A,A193))</f>
        <v/>
      </c>
      <c r="I193" s="4" t="n">
        <v>13253.02</v>
      </c>
      <c r="J193" t="inlineStr">
        <is>
          <t>actif</t>
        </is>
      </c>
    </row>
    <row r="194">
      <c r="A194" t="inlineStr">
        <is>
          <t>CTR-00195</t>
        </is>
      </c>
      <c r="B194" t="inlineStr">
        <is>
          <t>CLI-00371</t>
        </is>
      </c>
      <c r="C194" t="inlineStr">
        <is>
          <t>Île-de-France</t>
        </is>
      </c>
      <c r="D194" t="inlineStr">
        <is>
          <t>auto</t>
        </is>
      </c>
      <c r="E194" t="inlineStr">
        <is>
          <t>LLD</t>
        </is>
      </c>
      <c r="F194" t="inlineStr">
        <is>
          <t>2024-08-05</t>
        </is>
      </c>
      <c r="G194" s="4" t="n">
        <v>17518.24</v>
      </c>
      <c r="H194" s="4">
        <f>MAX(0,G194-SUMIFS('Paiements contrat'!$B:$B,'Paiements contrat'!$A:$A,A194))</f>
        <v/>
      </c>
      <c r="I194" s="4" t="n">
        <v>4945.880000000001</v>
      </c>
      <c r="J194" t="inlineStr">
        <is>
          <t>actif</t>
        </is>
      </c>
    </row>
    <row r="195">
      <c r="A195" t="inlineStr">
        <is>
          <t>CTR-00196</t>
        </is>
      </c>
      <c r="B195" t="inlineStr">
        <is>
          <t>CLI-01085</t>
        </is>
      </c>
      <c r="C195" t="inlineStr">
        <is>
          <t>Guadeloupe</t>
        </is>
      </c>
      <c r="D195" t="inlineStr">
        <is>
          <t>auto</t>
        </is>
      </c>
      <c r="E195" t="inlineStr">
        <is>
          <t>LOA</t>
        </is>
      </c>
      <c r="F195" t="inlineStr">
        <is>
          <t>2026-03-11</t>
        </is>
      </c>
      <c r="G195" s="4" t="n">
        <v>53572.11</v>
      </c>
      <c r="H195" s="4">
        <f>MAX(0,G195-SUMIFS('Paiements contrat'!$B:$B,'Paiements contrat'!$A:$A,A195))</f>
        <v/>
      </c>
      <c r="I195" s="4" t="n">
        <v>53572.11</v>
      </c>
      <c r="J195" t="inlineStr">
        <is>
          <t>actif</t>
        </is>
      </c>
    </row>
    <row r="196">
      <c r="A196" t="inlineStr">
        <is>
          <t>CTR-00197</t>
        </is>
      </c>
      <c r="B196" t="inlineStr">
        <is>
          <t>CLI-00263</t>
        </is>
      </c>
      <c r="C196" t="inlineStr">
        <is>
          <t>Île-de-France</t>
        </is>
      </c>
      <c r="D196" t="inlineStr">
        <is>
          <t>auto</t>
        </is>
      </c>
      <c r="E196" t="inlineStr">
        <is>
          <t>LOA</t>
        </is>
      </c>
      <c r="F196" t="inlineStr">
        <is>
          <t>2024-10-04</t>
        </is>
      </c>
      <c r="G196" s="4" t="n">
        <v>13726.59</v>
      </c>
      <c r="H196" s="4">
        <f>MAX(0,G196-SUMIFS('Paiements contrat'!$B:$B,'Paiements contrat'!$A:$A,A196))</f>
        <v/>
      </c>
      <c r="I196" s="4" t="n">
        <v>6205.462579894251</v>
      </c>
      <c r="J196" t="inlineStr">
        <is>
          <t>actif</t>
        </is>
      </c>
    </row>
    <row r="197">
      <c r="A197" t="inlineStr">
        <is>
          <t>CTR-00198</t>
        </is>
      </c>
      <c r="B197" t="inlineStr">
        <is>
          <t>CLI-00572</t>
        </is>
      </c>
      <c r="C197" t="inlineStr">
        <is>
          <t>Île-de-France</t>
        </is>
      </c>
      <c r="D197" t="inlineStr">
        <is>
          <t>auto</t>
        </is>
      </c>
      <c r="E197" t="inlineStr">
        <is>
          <t>LOA</t>
        </is>
      </c>
      <c r="F197" t="inlineStr">
        <is>
          <t>2024-08-03</t>
        </is>
      </c>
      <c r="G197" s="4" t="n">
        <v>26971.86</v>
      </c>
      <c r="H197" s="4">
        <f>MAX(0,G197-SUMIFS('Paiements contrat'!$B:$B,'Paiements contrat'!$A:$A,A197))</f>
        <v/>
      </c>
      <c r="I197" s="4" t="n">
        <v>3225.328765726201</v>
      </c>
      <c r="J197" t="inlineStr">
        <is>
          <t>contentieux</t>
        </is>
      </c>
    </row>
    <row r="198">
      <c r="A198" t="inlineStr">
        <is>
          <t>CTR-00199</t>
        </is>
      </c>
      <c r="B198" t="inlineStr">
        <is>
          <t>CLI-00157</t>
        </is>
      </c>
      <c r="C198" t="inlineStr">
        <is>
          <t>Île-de-France</t>
        </is>
      </c>
      <c r="D198" t="inlineStr">
        <is>
          <t>materiel</t>
        </is>
      </c>
      <c r="E198" t="inlineStr">
        <is>
          <t>crédit-bail</t>
        </is>
      </c>
      <c r="F198" t="inlineStr">
        <is>
          <t>2026-03-19</t>
        </is>
      </c>
      <c r="G198" s="4" t="n">
        <v>18248.8</v>
      </c>
      <c r="H198" s="4">
        <f>MAX(0,G198-SUMIFS('Paiements contrat'!$B:$B,'Paiements contrat'!$A:$A,A198))</f>
        <v/>
      </c>
      <c r="I198" s="4" t="n">
        <v>18248.8</v>
      </c>
      <c r="J198" t="inlineStr">
        <is>
          <t>actif</t>
        </is>
      </c>
    </row>
    <row r="199">
      <c r="A199" t="inlineStr">
        <is>
          <t>CTR-00200</t>
        </is>
      </c>
      <c r="B199" t="inlineStr">
        <is>
          <t>CLI-00930</t>
        </is>
      </c>
      <c r="C199" t="inlineStr">
        <is>
          <t>Île-de-France</t>
        </is>
      </c>
      <c r="D199" t="inlineStr">
        <is>
          <t>auto</t>
        </is>
      </c>
      <c r="E199" t="inlineStr">
        <is>
          <t>LLD</t>
        </is>
      </c>
      <c r="F199" t="inlineStr">
        <is>
          <t>2024-10-22</t>
        </is>
      </c>
      <c r="G199" s="4" t="n">
        <v>50858.55</v>
      </c>
      <c r="H199" s="4">
        <f>MAX(0,G199-SUMIFS('Paiements contrat'!$B:$B,'Paiements contrat'!$A:$A,A199))</f>
        <v/>
      </c>
      <c r="I199" s="4" t="n">
        <v>28214.54</v>
      </c>
      <c r="J199" t="inlineStr">
        <is>
          <t>actif</t>
        </is>
      </c>
    </row>
    <row r="200">
      <c r="A200" t="inlineStr">
        <is>
          <t>CTR-00201</t>
        </is>
      </c>
      <c r="B200" t="inlineStr">
        <is>
          <t>CLI-01238</t>
        </is>
      </c>
      <c r="C200" t="inlineStr">
        <is>
          <t>Guyane</t>
        </is>
      </c>
      <c r="D200" t="inlineStr">
        <is>
          <t>auto</t>
        </is>
      </c>
      <c r="E200" t="inlineStr">
        <is>
          <t>LOA</t>
        </is>
      </c>
      <c r="F200" t="inlineStr">
        <is>
          <t>2025-04-06</t>
        </is>
      </c>
      <c r="G200" s="4" t="n">
        <v>30262.15</v>
      </c>
      <c r="H200" s="4">
        <f>MAX(0,G200-SUMIFS('Paiements contrat'!$B:$B,'Paiements contrat'!$A:$A,A200))</f>
        <v/>
      </c>
      <c r="I200" s="4" t="n">
        <v>16761.57</v>
      </c>
      <c r="J200" t="inlineStr">
        <is>
          <t>actif</t>
        </is>
      </c>
    </row>
    <row r="201">
      <c r="A201" t="inlineStr">
        <is>
          <t>CTR-00202</t>
        </is>
      </c>
      <c r="B201" t="inlineStr">
        <is>
          <t>CLI-00157</t>
        </is>
      </c>
      <c r="C201" t="inlineStr">
        <is>
          <t>Île-de-France</t>
        </is>
      </c>
      <c r="D201" t="inlineStr">
        <is>
          <t>auto</t>
        </is>
      </c>
      <c r="E201" t="inlineStr">
        <is>
          <t>LOA</t>
        </is>
      </c>
      <c r="F201" t="inlineStr">
        <is>
          <t>2024-09-09</t>
        </is>
      </c>
      <c r="G201" s="4" t="n">
        <v>46140.25</v>
      </c>
      <c r="H201" s="4">
        <f>MAX(0,G201-SUMIFS('Paiements contrat'!$B:$B,'Paiements contrat'!$A:$A,A201))</f>
        <v/>
      </c>
      <c r="I201" s="4" t="n">
        <v>26782.39125940693</v>
      </c>
      <c r="J201" t="inlineStr">
        <is>
          <t>actif</t>
        </is>
      </c>
    </row>
    <row r="202">
      <c r="A202" t="inlineStr">
        <is>
          <t>CTR-00203</t>
        </is>
      </c>
      <c r="B202" t="inlineStr">
        <is>
          <t>CLI-00831</t>
        </is>
      </c>
      <c r="C202" t="inlineStr">
        <is>
          <t>Île-de-France</t>
        </is>
      </c>
      <c r="D202" t="inlineStr">
        <is>
          <t>auto</t>
        </is>
      </c>
      <c r="E202" t="inlineStr">
        <is>
          <t>LOA</t>
        </is>
      </c>
      <c r="F202" t="inlineStr">
        <is>
          <t>2024-11-02</t>
        </is>
      </c>
      <c r="G202" s="4" t="n">
        <v>56964.66</v>
      </c>
      <c r="H202" s="4">
        <f>MAX(0,G202-SUMIFS('Paiements contrat'!$B:$B,'Paiements contrat'!$A:$A,A202))</f>
        <v/>
      </c>
      <c r="I202" s="4" t="n">
        <v>35234.22669114228</v>
      </c>
      <c r="J202" t="inlineStr">
        <is>
          <t>actif</t>
        </is>
      </c>
    </row>
    <row r="203">
      <c r="A203" t="inlineStr">
        <is>
          <t>CTR-00204</t>
        </is>
      </c>
      <c r="B203" t="inlineStr">
        <is>
          <t>CLI-01056</t>
        </is>
      </c>
      <c r="C203" t="inlineStr">
        <is>
          <t>Réunion</t>
        </is>
      </c>
      <c r="D203" t="inlineStr">
        <is>
          <t>materiel</t>
        </is>
      </c>
      <c r="E203" t="inlineStr">
        <is>
          <t>crédit-bail</t>
        </is>
      </c>
      <c r="F203" t="inlineStr">
        <is>
          <t>2024-09-13</t>
        </is>
      </c>
      <c r="G203" s="4" t="n">
        <v>70750.64999999999</v>
      </c>
      <c r="H203" s="4">
        <f>MAX(0,G203-SUMIFS('Paiements contrat'!$B:$B,'Paiements contrat'!$A:$A,A203))</f>
        <v/>
      </c>
      <c r="I203" s="4" t="n">
        <v>6002.909999999996</v>
      </c>
      <c r="J203" t="inlineStr">
        <is>
          <t>soldé</t>
        </is>
      </c>
    </row>
    <row r="204">
      <c r="A204" t="inlineStr">
        <is>
          <t>CTR-00205</t>
        </is>
      </c>
      <c r="B204" t="inlineStr">
        <is>
          <t>CLI-00394</t>
        </is>
      </c>
      <c r="C204" t="inlineStr">
        <is>
          <t>Île-de-France</t>
        </is>
      </c>
      <c r="D204" t="inlineStr">
        <is>
          <t>auto</t>
        </is>
      </c>
      <c r="E204" t="inlineStr">
        <is>
          <t>LOA</t>
        </is>
      </c>
      <c r="F204" t="inlineStr">
        <is>
          <t>2024-09-26</t>
        </is>
      </c>
      <c r="G204" s="4" t="n">
        <v>40371.98</v>
      </c>
      <c r="H204" s="4">
        <f>MAX(0,G204-SUMIFS('Paiements contrat'!$B:$B,'Paiements contrat'!$A:$A,A204))</f>
        <v/>
      </c>
      <c r="I204" s="4" t="n">
        <v>12245.66</v>
      </c>
      <c r="J204" t="inlineStr">
        <is>
          <t>actif</t>
        </is>
      </c>
    </row>
    <row r="205">
      <c r="A205" t="inlineStr">
        <is>
          <t>CTR-00206</t>
        </is>
      </c>
      <c r="B205" t="inlineStr">
        <is>
          <t>CLI-00107</t>
        </is>
      </c>
      <c r="C205" t="inlineStr">
        <is>
          <t>Martinique</t>
        </is>
      </c>
      <c r="D205" t="inlineStr">
        <is>
          <t>auto</t>
        </is>
      </c>
      <c r="E205" t="inlineStr">
        <is>
          <t>LOA</t>
        </is>
      </c>
      <c r="F205" t="inlineStr">
        <is>
          <t>2026-02-04</t>
        </is>
      </c>
      <c r="G205" s="4" t="n">
        <v>32022.33</v>
      </c>
      <c r="H205" s="4">
        <f>MAX(0,G205-SUMIFS('Paiements contrat'!$B:$B,'Paiements contrat'!$A:$A,A205))</f>
        <v/>
      </c>
      <c r="I205" s="4" t="n">
        <v>30278</v>
      </c>
      <c r="J205" t="inlineStr">
        <is>
          <t>actif</t>
        </is>
      </c>
    </row>
    <row r="206">
      <c r="A206" t="inlineStr">
        <is>
          <t>CTR-00207</t>
        </is>
      </c>
      <c r="B206" t="inlineStr">
        <is>
          <t>CLI-00859</t>
        </is>
      </c>
      <c r="C206" t="inlineStr">
        <is>
          <t>Guadeloupe</t>
        </is>
      </c>
      <c r="D206" t="inlineStr">
        <is>
          <t>bateau</t>
        </is>
      </c>
      <c r="E206" t="inlineStr">
        <is>
          <t>LOA</t>
        </is>
      </c>
      <c r="F206" t="inlineStr">
        <is>
          <t>2024-05-14</t>
        </is>
      </c>
      <c r="G206" s="4" t="n">
        <v>276235.37</v>
      </c>
      <c r="H206" s="4">
        <f>MAX(0,G206-SUMIFS('Paiements contrat'!$B:$B,'Paiements contrat'!$A:$A,A206))</f>
        <v/>
      </c>
      <c r="I206" s="4" t="n">
        <v>35339.23999999999</v>
      </c>
      <c r="J206" t="inlineStr">
        <is>
          <t>actif</t>
        </is>
      </c>
    </row>
    <row r="207">
      <c r="A207" t="inlineStr">
        <is>
          <t>CTR-00208</t>
        </is>
      </c>
      <c r="B207" t="inlineStr">
        <is>
          <t>CLI-00494</t>
        </is>
      </c>
      <c r="C207" t="inlineStr">
        <is>
          <t>Réunion</t>
        </is>
      </c>
      <c r="D207" t="inlineStr">
        <is>
          <t>bateau</t>
        </is>
      </c>
      <c r="E207" t="inlineStr">
        <is>
          <t>LOA</t>
        </is>
      </c>
      <c r="F207" t="inlineStr">
        <is>
          <t>2025-03-19</t>
        </is>
      </c>
      <c r="G207" s="4" t="n">
        <v>176409.89</v>
      </c>
      <c r="H207" s="4">
        <f>MAX(0,G207-SUMIFS('Paiements contrat'!$B:$B,'Paiements contrat'!$A:$A,A207))</f>
        <v/>
      </c>
      <c r="I207" s="4" t="n">
        <v>96572.76000000001</v>
      </c>
      <c r="J207" t="inlineStr">
        <is>
          <t>actif</t>
        </is>
      </c>
    </row>
    <row r="208">
      <c r="A208" t="inlineStr">
        <is>
          <t>CTR-00209</t>
        </is>
      </c>
      <c r="B208" t="inlineStr">
        <is>
          <t>CLI-00426</t>
        </is>
      </c>
      <c r="C208" t="inlineStr">
        <is>
          <t>Île-de-France</t>
        </is>
      </c>
      <c r="D208" t="inlineStr">
        <is>
          <t>auto</t>
        </is>
      </c>
      <c r="E208" t="inlineStr">
        <is>
          <t>LOA</t>
        </is>
      </c>
      <c r="F208" t="inlineStr">
        <is>
          <t>2024-09-10</t>
        </is>
      </c>
      <c r="G208" s="4" t="n">
        <v>45794.07</v>
      </c>
      <c r="H208" s="4">
        <f>MAX(0,G208-SUMIFS('Paiements contrat'!$B:$B,'Paiements contrat'!$A:$A,A208))</f>
        <v/>
      </c>
      <c r="I208" s="4" t="n">
        <v>18689.00017390917</v>
      </c>
      <c r="J208" t="inlineStr">
        <is>
          <t>actif</t>
        </is>
      </c>
    </row>
    <row r="209">
      <c r="A209" t="inlineStr">
        <is>
          <t>CTR-00210</t>
        </is>
      </c>
      <c r="B209" t="inlineStr">
        <is>
          <t>CLI-00152</t>
        </is>
      </c>
      <c r="C209" t="inlineStr">
        <is>
          <t>Île-de-France</t>
        </is>
      </c>
      <c r="D209" t="inlineStr">
        <is>
          <t>auto</t>
        </is>
      </c>
      <c r="E209" t="inlineStr">
        <is>
          <t>LOA</t>
        </is>
      </c>
      <c r="F209" t="inlineStr">
        <is>
          <t>2025-08-02</t>
        </is>
      </c>
      <c r="G209" s="4" t="n">
        <v>14339.37</v>
      </c>
      <c r="H209" s="4">
        <f>MAX(0,G209-SUMIFS('Paiements contrat'!$B:$B,'Paiements contrat'!$A:$A,A209))</f>
        <v/>
      </c>
      <c r="I209" s="4" t="n">
        <v>10282.02</v>
      </c>
      <c r="J209" t="inlineStr">
        <is>
          <t>actif</t>
        </is>
      </c>
    </row>
    <row r="210">
      <c r="A210" t="inlineStr">
        <is>
          <t>CTR-00211</t>
        </is>
      </c>
      <c r="B210" t="inlineStr">
        <is>
          <t>CLI-00931</t>
        </is>
      </c>
      <c r="C210" t="inlineStr">
        <is>
          <t>Île-de-France</t>
        </is>
      </c>
      <c r="D210" t="inlineStr">
        <is>
          <t>auto</t>
        </is>
      </c>
      <c r="E210" t="inlineStr">
        <is>
          <t>LOA</t>
        </is>
      </c>
      <c r="F210" t="inlineStr">
        <is>
          <t>2024-12-15</t>
        </is>
      </c>
      <c r="G210" s="4" t="n">
        <v>11886.04</v>
      </c>
      <c r="H210" s="4">
        <f>MAX(0,G210-SUMIFS('Paiements contrat'!$B:$B,'Paiements contrat'!$A:$A,A210))</f>
        <v/>
      </c>
      <c r="I210" s="4" t="n">
        <v>6486.950000000001</v>
      </c>
      <c r="J210" t="inlineStr">
        <is>
          <t>actif</t>
        </is>
      </c>
    </row>
    <row r="211">
      <c r="A211" t="inlineStr">
        <is>
          <t>CTR-00212</t>
        </is>
      </c>
      <c r="B211" t="inlineStr">
        <is>
          <t>CLI-00508</t>
        </is>
      </c>
      <c r="C211" t="inlineStr">
        <is>
          <t>Guadeloupe</t>
        </is>
      </c>
      <c r="D211" t="inlineStr">
        <is>
          <t>materiel</t>
        </is>
      </c>
      <c r="E211" t="inlineStr">
        <is>
          <t>crédit-bail</t>
        </is>
      </c>
      <c r="F211" t="inlineStr">
        <is>
          <t>2026-01-25</t>
        </is>
      </c>
      <c r="G211" s="4" t="n">
        <v>60342.26</v>
      </c>
      <c r="H211" s="4">
        <f>MAX(0,G211-SUMIFS('Paiements contrat'!$B:$B,'Paiements contrat'!$A:$A,A211))</f>
        <v/>
      </c>
      <c r="I211" s="4" t="n">
        <v>57157.56</v>
      </c>
      <c r="J211" t="inlineStr">
        <is>
          <t>actif</t>
        </is>
      </c>
    </row>
    <row r="212">
      <c r="A212" t="inlineStr">
        <is>
          <t>CTR-00213</t>
        </is>
      </c>
      <c r="B212" t="inlineStr">
        <is>
          <t>CLI-01242</t>
        </is>
      </c>
      <c r="C212" t="inlineStr">
        <is>
          <t>Île-de-France</t>
        </is>
      </c>
      <c r="D212" t="inlineStr">
        <is>
          <t>auto</t>
        </is>
      </c>
      <c r="E212" t="inlineStr">
        <is>
          <t>LOA</t>
        </is>
      </c>
      <c r="F212" t="inlineStr">
        <is>
          <t>2025-11-12</t>
        </is>
      </c>
      <c r="G212" s="4" t="n">
        <v>19805.46</v>
      </c>
      <c r="H212" s="4">
        <f>MAX(0,G212-SUMIFS('Paiements contrat'!$B:$B,'Paiements contrat'!$A:$A,A212))</f>
        <v/>
      </c>
      <c r="I212" s="4" t="n">
        <v>16605.25</v>
      </c>
      <c r="J212" t="inlineStr">
        <is>
          <t>actif</t>
        </is>
      </c>
    </row>
    <row r="213">
      <c r="A213" t="inlineStr">
        <is>
          <t>CTR-00214</t>
        </is>
      </c>
      <c r="B213" t="inlineStr">
        <is>
          <t>CLI-00797</t>
        </is>
      </c>
      <c r="C213" t="inlineStr">
        <is>
          <t>Île-de-France</t>
        </is>
      </c>
      <c r="D213" t="inlineStr">
        <is>
          <t>auto</t>
        </is>
      </c>
      <c r="E213" t="inlineStr">
        <is>
          <t>LLD</t>
        </is>
      </c>
      <c r="F213" t="inlineStr">
        <is>
          <t>2025-04-09</t>
        </is>
      </c>
      <c r="G213" s="4" t="n">
        <v>14957.45</v>
      </c>
      <c r="H213" s="4">
        <f>MAX(0,G213-SUMIFS('Paiements contrat'!$B:$B,'Paiements contrat'!$A:$A,A213))</f>
        <v/>
      </c>
      <c r="I213" s="4" t="n">
        <v>8397.040000000001</v>
      </c>
      <c r="J213" t="inlineStr">
        <is>
          <t>actif</t>
        </is>
      </c>
    </row>
    <row r="214">
      <c r="A214" t="inlineStr">
        <is>
          <t>CTR-00215</t>
        </is>
      </c>
      <c r="B214" t="inlineStr">
        <is>
          <t>CLI-00789</t>
        </is>
      </c>
      <c r="C214" t="inlineStr">
        <is>
          <t>Réunion</t>
        </is>
      </c>
      <c r="D214" t="inlineStr">
        <is>
          <t>auto</t>
        </is>
      </c>
      <c r="E214" t="inlineStr">
        <is>
          <t>LOA</t>
        </is>
      </c>
      <c r="F214" t="inlineStr">
        <is>
          <t>2024-07-25</t>
        </is>
      </c>
      <c r="G214" s="4" t="n">
        <v>29945.23</v>
      </c>
      <c r="H214" s="4">
        <f>MAX(0,G214-SUMIFS('Paiements contrat'!$B:$B,'Paiements contrat'!$A:$A,A214))</f>
        <v/>
      </c>
      <c r="I214" s="4" t="n">
        <v>19240.82858695966</v>
      </c>
      <c r="J214" t="inlineStr">
        <is>
          <t>actif</t>
        </is>
      </c>
    </row>
    <row r="215">
      <c r="A215" t="inlineStr">
        <is>
          <t>CTR-00216</t>
        </is>
      </c>
      <c r="B215" t="inlineStr">
        <is>
          <t>CLI-01338</t>
        </is>
      </c>
      <c r="C215" t="inlineStr">
        <is>
          <t>Île-de-France</t>
        </is>
      </c>
      <c r="D215" t="inlineStr">
        <is>
          <t>materiel</t>
        </is>
      </c>
      <c r="E215" t="inlineStr">
        <is>
          <t>crédit-bail</t>
        </is>
      </c>
      <c r="F215" t="inlineStr">
        <is>
          <t>2024-10-14</t>
        </is>
      </c>
      <c r="G215" s="4" t="n">
        <v>160844.67</v>
      </c>
      <c r="H215" s="4">
        <f>MAX(0,G215-SUMIFS('Paiements contrat'!$B:$B,'Paiements contrat'!$A:$A,A215))</f>
        <v/>
      </c>
      <c r="I215" s="4" t="n">
        <v>125477.77</v>
      </c>
      <c r="J215" t="inlineStr">
        <is>
          <t>actif</t>
        </is>
      </c>
    </row>
    <row r="216">
      <c r="A216" t="inlineStr">
        <is>
          <t>CTR-00217</t>
        </is>
      </c>
      <c r="B216" t="inlineStr">
        <is>
          <t>CLI-00922</t>
        </is>
      </c>
      <c r="C216" t="inlineStr">
        <is>
          <t>Île-de-France</t>
        </is>
      </c>
      <c r="D216" t="inlineStr">
        <is>
          <t>auto</t>
        </is>
      </c>
      <c r="E216" t="inlineStr">
        <is>
          <t>LLD</t>
        </is>
      </c>
      <c r="F216" t="inlineStr">
        <is>
          <t>2024-04-25</t>
        </is>
      </c>
      <c r="G216" s="4" t="n">
        <v>34252.13</v>
      </c>
      <c r="H216" s="4">
        <f>MAX(0,G216-SUMIFS('Paiements contrat'!$B:$B,'Paiements contrat'!$A:$A,A216))</f>
        <v/>
      </c>
      <c r="I216" s="4" t="n">
        <v>3583.503985448664</v>
      </c>
      <c r="J216" t="inlineStr">
        <is>
          <t>actif</t>
        </is>
      </c>
    </row>
    <row r="217">
      <c r="A217" t="inlineStr">
        <is>
          <t>CTR-00218</t>
        </is>
      </c>
      <c r="B217" t="inlineStr">
        <is>
          <t>CLI-01035</t>
        </is>
      </c>
      <c r="C217" t="inlineStr">
        <is>
          <t>Île-de-France</t>
        </is>
      </c>
      <c r="D217" t="inlineStr">
        <is>
          <t>auto</t>
        </is>
      </c>
      <c r="E217" t="inlineStr">
        <is>
          <t>LOA</t>
        </is>
      </c>
      <c r="F217" t="inlineStr">
        <is>
          <t>2025-04-15</t>
        </is>
      </c>
      <c r="G217" s="4" t="n">
        <v>51358.15</v>
      </c>
      <c r="H217" s="4">
        <f>MAX(0,G217-SUMIFS('Paiements contrat'!$B:$B,'Paiements contrat'!$A:$A,A217))</f>
        <v/>
      </c>
      <c r="I217" s="4" t="n">
        <v>37437.38278344238</v>
      </c>
      <c r="J217" t="inlineStr">
        <is>
          <t>actif</t>
        </is>
      </c>
    </row>
    <row r="218">
      <c r="A218" t="inlineStr">
        <is>
          <t>CTR-00219</t>
        </is>
      </c>
      <c r="B218" t="inlineStr">
        <is>
          <t>CLI-01000</t>
        </is>
      </c>
      <c r="C218" t="inlineStr">
        <is>
          <t>Martinique</t>
        </is>
      </c>
      <c r="D218" t="inlineStr">
        <is>
          <t>materiel</t>
        </is>
      </c>
      <c r="E218" t="inlineStr">
        <is>
          <t>crédit-bail</t>
        </is>
      </c>
      <c r="F218" t="inlineStr">
        <is>
          <t>2025-12-16</t>
        </is>
      </c>
      <c r="G218" s="4" t="n">
        <v>172468.71</v>
      </c>
      <c r="H218" s="4">
        <f>MAX(0,G218-SUMIFS('Paiements contrat'!$B:$B,'Paiements contrat'!$A:$A,A218))</f>
        <v/>
      </c>
      <c r="I218" s="4" t="n">
        <v>130764.21</v>
      </c>
      <c r="J218" t="inlineStr">
        <is>
          <t>actif</t>
        </is>
      </c>
    </row>
    <row r="219">
      <c r="A219" t="inlineStr">
        <is>
          <t>CTR-00220</t>
        </is>
      </c>
      <c r="B219" t="inlineStr">
        <is>
          <t>CLI-00635</t>
        </is>
      </c>
      <c r="C219" t="inlineStr">
        <is>
          <t>Île-de-France</t>
        </is>
      </c>
      <c r="D219" t="inlineStr">
        <is>
          <t>auto</t>
        </is>
      </c>
      <c r="E219" t="inlineStr">
        <is>
          <t>LOA</t>
        </is>
      </c>
      <c r="F219" t="inlineStr">
        <is>
          <t>2026-03-06</t>
        </is>
      </c>
      <c r="G219" s="4" t="n">
        <v>20951.36</v>
      </c>
      <c r="H219" s="4">
        <f>MAX(0,G219-SUMIFS('Paiements contrat'!$B:$B,'Paiements contrat'!$A:$A,A219))</f>
        <v/>
      </c>
      <c r="I219" s="4" t="n">
        <v>20951.36</v>
      </c>
      <c r="J219" t="inlineStr">
        <is>
          <t>actif</t>
        </is>
      </c>
    </row>
    <row r="220">
      <c r="A220" t="inlineStr">
        <is>
          <t>CTR-00221</t>
        </is>
      </c>
      <c r="B220" t="inlineStr">
        <is>
          <t>CLI-00053</t>
        </is>
      </c>
      <c r="C220" t="inlineStr">
        <is>
          <t>Réunion</t>
        </is>
      </c>
      <c r="D220" t="inlineStr">
        <is>
          <t>materiel</t>
        </is>
      </c>
      <c r="E220" t="inlineStr">
        <is>
          <t>crédit-bail</t>
        </is>
      </c>
      <c r="F220" t="inlineStr">
        <is>
          <t>2025-06-23</t>
        </is>
      </c>
      <c r="G220" s="4" t="n">
        <v>107909.57</v>
      </c>
      <c r="H220" s="4">
        <f>MAX(0,G220-SUMIFS('Paiements contrat'!$B:$B,'Paiements contrat'!$A:$A,A220))</f>
        <v/>
      </c>
      <c r="I220" s="4" t="n">
        <v>36166.16</v>
      </c>
      <c r="J220" t="inlineStr">
        <is>
          <t>actif</t>
        </is>
      </c>
    </row>
    <row r="221">
      <c r="A221" t="inlineStr">
        <is>
          <t>CTR-00222</t>
        </is>
      </c>
      <c r="B221" t="inlineStr">
        <is>
          <t>CLI-00595</t>
        </is>
      </c>
      <c r="C221" t="inlineStr">
        <is>
          <t>Martinique</t>
        </is>
      </c>
      <c r="D221" t="inlineStr">
        <is>
          <t>materiel</t>
        </is>
      </c>
      <c r="E221" t="inlineStr">
        <is>
          <t>crédit-bail</t>
        </is>
      </c>
      <c r="F221" t="inlineStr">
        <is>
          <t>2025-04-06</t>
        </is>
      </c>
      <c r="G221" s="4" t="n">
        <v>90623.31</v>
      </c>
      <c r="H221" s="4">
        <f>MAX(0,G221-SUMIFS('Paiements contrat'!$B:$B,'Paiements contrat'!$A:$A,A221))</f>
        <v/>
      </c>
      <c r="I221" s="4" t="n">
        <v>64908.25999999999</v>
      </c>
      <c r="J221" t="inlineStr">
        <is>
          <t>contentieux</t>
        </is>
      </c>
    </row>
    <row r="222">
      <c r="A222" t="inlineStr">
        <is>
          <t>CTR-00223</t>
        </is>
      </c>
      <c r="B222" t="inlineStr">
        <is>
          <t>CLI-00074</t>
        </is>
      </c>
      <c r="C222" t="inlineStr">
        <is>
          <t>Île-de-France</t>
        </is>
      </c>
      <c r="D222" t="inlineStr">
        <is>
          <t>auto</t>
        </is>
      </c>
      <c r="E222" t="inlineStr">
        <is>
          <t>LOA</t>
        </is>
      </c>
      <c r="F222" t="inlineStr">
        <is>
          <t>2024-08-07</t>
        </is>
      </c>
      <c r="G222" s="4" t="n">
        <v>50060.17</v>
      </c>
      <c r="H222" s="4">
        <f>MAX(0,G222-SUMIFS('Paiements contrat'!$B:$B,'Paiements contrat'!$A:$A,A222))</f>
        <v/>
      </c>
      <c r="I222" s="4" t="n">
        <v>20837.09</v>
      </c>
      <c r="J222" t="inlineStr">
        <is>
          <t>actif</t>
        </is>
      </c>
    </row>
    <row r="223">
      <c r="A223" t="inlineStr">
        <is>
          <t>CTR-00224</t>
        </is>
      </c>
      <c r="B223" t="inlineStr">
        <is>
          <t>CLI-00542</t>
        </is>
      </c>
      <c r="C223" t="inlineStr">
        <is>
          <t>Île-de-France</t>
        </is>
      </c>
      <c r="D223" t="inlineStr">
        <is>
          <t>materiel</t>
        </is>
      </c>
      <c r="E223" t="inlineStr">
        <is>
          <t>crédit-bail</t>
        </is>
      </c>
      <c r="F223" t="inlineStr">
        <is>
          <t>2026-03-14</t>
        </is>
      </c>
      <c r="G223" s="4" t="n">
        <v>79463.91</v>
      </c>
      <c r="H223" s="4">
        <f>MAX(0,G223-SUMIFS('Paiements contrat'!$B:$B,'Paiements contrat'!$A:$A,A223))</f>
        <v/>
      </c>
      <c r="I223" s="4" t="n">
        <v>79463.91</v>
      </c>
      <c r="J223" t="inlineStr">
        <is>
          <t>actif</t>
        </is>
      </c>
    </row>
    <row r="224">
      <c r="A224" t="inlineStr">
        <is>
          <t>CTR-00225</t>
        </is>
      </c>
      <c r="B224" t="inlineStr">
        <is>
          <t>CLI-01099</t>
        </is>
      </c>
      <c r="C224" t="inlineStr">
        <is>
          <t>Martinique</t>
        </is>
      </c>
      <c r="D224" t="inlineStr">
        <is>
          <t>auto</t>
        </is>
      </c>
      <c r="E224" t="inlineStr">
        <is>
          <t>LOA</t>
        </is>
      </c>
      <c r="F224" t="inlineStr">
        <is>
          <t>2024-05-03</t>
        </is>
      </c>
      <c r="G224" s="4" t="n">
        <v>73311.28999999999</v>
      </c>
      <c r="H224" s="4">
        <f>MAX(0,G224-SUMIFS('Paiements contrat'!$B:$B,'Paiements contrat'!$A:$A,A224))</f>
        <v/>
      </c>
      <c r="I224" s="4" t="n">
        <v>11272.26515498255</v>
      </c>
      <c r="J224" t="inlineStr">
        <is>
          <t>actif</t>
        </is>
      </c>
    </row>
    <row r="225">
      <c r="A225" t="inlineStr">
        <is>
          <t>CTR-00226</t>
        </is>
      </c>
      <c r="B225" t="inlineStr">
        <is>
          <t>CLI-00504</t>
        </is>
      </c>
      <c r="C225" t="inlineStr">
        <is>
          <t>Île-de-France</t>
        </is>
      </c>
      <c r="D225" t="inlineStr">
        <is>
          <t>auto</t>
        </is>
      </c>
      <c r="E225" t="inlineStr">
        <is>
          <t>LLD</t>
        </is>
      </c>
      <c r="F225" t="inlineStr">
        <is>
          <t>2024-10-19</t>
        </is>
      </c>
      <c r="G225" s="4" t="n">
        <v>11782.84</v>
      </c>
      <c r="H225" s="4">
        <f>MAX(0,G225-SUMIFS('Paiements contrat'!$B:$B,'Paiements contrat'!$A:$A,A225))</f>
        <v/>
      </c>
      <c r="I225" s="4" t="n">
        <v>6934.452421810758</v>
      </c>
      <c r="J225" t="inlineStr">
        <is>
          <t>actif</t>
        </is>
      </c>
    </row>
    <row r="226">
      <c r="A226" t="inlineStr">
        <is>
          <t>CTR-00227</t>
        </is>
      </c>
      <c r="B226" t="inlineStr">
        <is>
          <t>CLI-00596</t>
        </is>
      </c>
      <c r="C226" t="inlineStr">
        <is>
          <t>Île-de-France</t>
        </is>
      </c>
      <c r="D226" t="inlineStr">
        <is>
          <t>auto</t>
        </is>
      </c>
      <c r="E226" t="inlineStr">
        <is>
          <t>LOA</t>
        </is>
      </c>
      <c r="F226" t="inlineStr">
        <is>
          <t>2024-08-19</t>
        </is>
      </c>
      <c r="G226" s="4" t="n">
        <v>64065.56</v>
      </c>
      <c r="H226" s="4">
        <f>MAX(0,G226-SUMIFS('Paiements contrat'!$B:$B,'Paiements contrat'!$A:$A,A226))</f>
        <v/>
      </c>
      <c r="I226" s="4" t="n">
        <v>20147.76242710729</v>
      </c>
      <c r="J226" t="inlineStr">
        <is>
          <t>actif</t>
        </is>
      </c>
    </row>
    <row r="227">
      <c r="A227" t="inlineStr">
        <is>
          <t>CTR-00228</t>
        </is>
      </c>
      <c r="B227" t="inlineStr">
        <is>
          <t>CLI-00875</t>
        </is>
      </c>
      <c r="C227" t="inlineStr">
        <is>
          <t>Guyane</t>
        </is>
      </c>
      <c r="D227" t="inlineStr">
        <is>
          <t>auto</t>
        </is>
      </c>
      <c r="E227" t="inlineStr">
        <is>
          <t>LLD</t>
        </is>
      </c>
      <c r="F227" t="inlineStr">
        <is>
          <t>2025-06-06</t>
        </is>
      </c>
      <c r="G227" s="4" t="n">
        <v>10874.36</v>
      </c>
      <c r="H227" s="4">
        <f>MAX(0,G227-SUMIFS('Paiements contrat'!$B:$B,'Paiements contrat'!$A:$A,A227))</f>
        <v/>
      </c>
      <c r="I227" s="4" t="n">
        <v>7327.050000000001</v>
      </c>
      <c r="J227" t="inlineStr">
        <is>
          <t>actif</t>
        </is>
      </c>
    </row>
    <row r="228">
      <c r="A228" t="inlineStr">
        <is>
          <t>CTR-00229</t>
        </is>
      </c>
      <c r="B228" t="inlineStr">
        <is>
          <t>CLI-00002</t>
        </is>
      </c>
      <c r="C228" t="inlineStr">
        <is>
          <t>Réunion</t>
        </is>
      </c>
      <c r="D228" t="inlineStr">
        <is>
          <t>auto</t>
        </is>
      </c>
      <c r="E228" t="inlineStr">
        <is>
          <t>LOA</t>
        </is>
      </c>
      <c r="F228" t="inlineStr">
        <is>
          <t>2024-12-14</t>
        </is>
      </c>
      <c r="G228" s="4" t="n">
        <v>18426</v>
      </c>
      <c r="H228" s="4">
        <f>MAX(0,G228-SUMIFS('Paiements contrat'!$B:$B,'Paiements contrat'!$A:$A,A228))</f>
        <v/>
      </c>
      <c r="I228" s="4" t="n">
        <v>12187.63</v>
      </c>
      <c r="J228" t="inlineStr">
        <is>
          <t>actif</t>
        </is>
      </c>
    </row>
    <row r="229">
      <c r="A229" t="inlineStr">
        <is>
          <t>CTR-00230</t>
        </is>
      </c>
      <c r="B229" t="inlineStr">
        <is>
          <t>CLI-00154</t>
        </is>
      </c>
      <c r="C229" t="inlineStr">
        <is>
          <t>Île-de-France</t>
        </is>
      </c>
      <c r="D229" t="inlineStr">
        <is>
          <t>auto</t>
        </is>
      </c>
      <c r="E229" t="inlineStr">
        <is>
          <t>LOA</t>
        </is>
      </c>
      <c r="F229" t="inlineStr">
        <is>
          <t>2026-03-05</t>
        </is>
      </c>
      <c r="G229" s="4" t="n">
        <v>47408.25</v>
      </c>
      <c r="H229" s="4">
        <f>MAX(0,G229-SUMIFS('Paiements contrat'!$B:$B,'Paiements contrat'!$A:$A,A229))</f>
        <v/>
      </c>
      <c r="I229" s="4" t="n">
        <v>47408.25</v>
      </c>
      <c r="J229" t="inlineStr">
        <is>
          <t>actif</t>
        </is>
      </c>
    </row>
    <row r="230">
      <c r="A230" t="inlineStr">
        <is>
          <t>CTR-00231</t>
        </is>
      </c>
      <c r="B230" t="inlineStr">
        <is>
          <t>CLI-01392</t>
        </is>
      </c>
      <c r="C230" t="inlineStr">
        <is>
          <t>Île-de-France</t>
        </is>
      </c>
      <c r="D230" t="inlineStr">
        <is>
          <t>auto</t>
        </is>
      </c>
      <c r="E230" t="inlineStr">
        <is>
          <t>LOA</t>
        </is>
      </c>
      <c r="F230" t="inlineStr">
        <is>
          <t>2025-04-23</t>
        </is>
      </c>
      <c r="G230" s="4" t="n">
        <v>65997.89999999999</v>
      </c>
      <c r="H230" s="4">
        <f>MAX(0,G230-SUMIFS('Paiements contrat'!$B:$B,'Paiements contrat'!$A:$A,A230))</f>
        <v/>
      </c>
      <c r="I230" s="4" t="n">
        <v>5611.399999999994</v>
      </c>
      <c r="J230" t="inlineStr">
        <is>
          <t>actif</t>
        </is>
      </c>
    </row>
    <row r="231">
      <c r="A231" t="inlineStr">
        <is>
          <t>CTR-00232</t>
        </is>
      </c>
      <c r="B231" t="inlineStr">
        <is>
          <t>CLI-00648</t>
        </is>
      </c>
      <c r="C231" t="inlineStr">
        <is>
          <t>Île-de-France</t>
        </is>
      </c>
      <c r="D231" t="inlineStr">
        <is>
          <t>auto</t>
        </is>
      </c>
      <c r="E231" t="inlineStr">
        <is>
          <t>LOA</t>
        </is>
      </c>
      <c r="F231" t="inlineStr">
        <is>
          <t>2024-11-22</t>
        </is>
      </c>
      <c r="G231" s="4" t="n">
        <v>52131.61</v>
      </c>
      <c r="H231" s="4">
        <f>MAX(0,G231-SUMIFS('Paiements contrat'!$B:$B,'Paiements contrat'!$A:$A,A231))</f>
        <v/>
      </c>
      <c r="I231" s="4" t="n">
        <v>24313.14</v>
      </c>
      <c r="J231" t="inlineStr">
        <is>
          <t>contentieux</t>
        </is>
      </c>
    </row>
    <row r="232">
      <c r="A232" t="inlineStr">
        <is>
          <t>CTR-00233</t>
        </is>
      </c>
      <c r="B232" t="inlineStr">
        <is>
          <t>CLI-00532</t>
        </is>
      </c>
      <c r="C232" t="inlineStr">
        <is>
          <t>Réunion</t>
        </is>
      </c>
      <c r="D232" t="inlineStr">
        <is>
          <t>materiel</t>
        </is>
      </c>
      <c r="E232" t="inlineStr">
        <is>
          <t>crédit-bail</t>
        </is>
      </c>
      <c r="F232" t="inlineStr">
        <is>
          <t>2024-12-10</t>
        </is>
      </c>
      <c r="G232" s="4" t="n">
        <v>121652.84</v>
      </c>
      <c r="H232" s="4">
        <f>MAX(0,G232-SUMIFS('Paiements contrat'!$B:$B,'Paiements contrat'!$A:$A,A232))</f>
        <v/>
      </c>
      <c r="I232" s="4" t="n">
        <v>91734.32999999999</v>
      </c>
      <c r="J232" t="inlineStr">
        <is>
          <t>actif</t>
        </is>
      </c>
    </row>
    <row r="233">
      <c r="A233" t="inlineStr">
        <is>
          <t>CTR-00234</t>
        </is>
      </c>
      <c r="B233" t="inlineStr">
        <is>
          <t>CLI-00457</t>
        </is>
      </c>
      <c r="C233" t="inlineStr">
        <is>
          <t>Île-de-France</t>
        </is>
      </c>
      <c r="D233" t="inlineStr">
        <is>
          <t>materiel</t>
        </is>
      </c>
      <c r="E233" t="inlineStr">
        <is>
          <t>crédit-bail</t>
        </is>
      </c>
      <c r="F233" t="inlineStr">
        <is>
          <t>2026-01-09</t>
        </is>
      </c>
      <c r="G233" s="4" t="n">
        <v>19924.41</v>
      </c>
      <c r="H233" s="4">
        <f>MAX(0,G233-SUMIFS('Paiements contrat'!$B:$B,'Paiements contrat'!$A:$A,A233))</f>
        <v/>
      </c>
      <c r="I233" s="4" t="n">
        <v>18715.91</v>
      </c>
      <c r="J233" t="inlineStr">
        <is>
          <t>actif</t>
        </is>
      </c>
    </row>
    <row r="234">
      <c r="A234" t="inlineStr">
        <is>
          <t>CTR-00235</t>
        </is>
      </c>
      <c r="B234" t="inlineStr">
        <is>
          <t>CLI-00309</t>
        </is>
      </c>
      <c r="C234" t="inlineStr">
        <is>
          <t>Guadeloupe</t>
        </is>
      </c>
      <c r="D234" t="inlineStr">
        <is>
          <t>auto</t>
        </is>
      </c>
      <c r="E234" t="inlineStr">
        <is>
          <t>LOA</t>
        </is>
      </c>
      <c r="F234" t="inlineStr">
        <is>
          <t>2025-12-02</t>
        </is>
      </c>
      <c r="G234" s="4" t="n">
        <v>56520.13</v>
      </c>
      <c r="H234" s="4">
        <f>MAX(0,G234-SUMIFS('Paiements contrat'!$B:$B,'Paiements contrat'!$A:$A,A234))</f>
        <v/>
      </c>
      <c r="I234" s="4" t="n">
        <v>49706.87</v>
      </c>
      <c r="J234" t="inlineStr">
        <is>
          <t>actif</t>
        </is>
      </c>
    </row>
    <row r="235">
      <c r="A235" t="inlineStr">
        <is>
          <t>CTR-00236</t>
        </is>
      </c>
      <c r="B235" t="inlineStr">
        <is>
          <t>CLI-00740</t>
        </is>
      </c>
      <c r="C235" t="inlineStr">
        <is>
          <t>Île-de-France</t>
        </is>
      </c>
      <c r="D235" t="inlineStr">
        <is>
          <t>auto</t>
        </is>
      </c>
      <c r="E235" t="inlineStr">
        <is>
          <t>LOA</t>
        </is>
      </c>
      <c r="F235" t="inlineStr">
        <is>
          <t>2024-12-14</t>
        </is>
      </c>
      <c r="G235" s="4" t="n">
        <v>13787.75</v>
      </c>
      <c r="H235" s="4">
        <f>MAX(0,G235-SUMIFS('Paiements contrat'!$B:$B,'Paiements contrat'!$A:$A,A235))</f>
        <v/>
      </c>
      <c r="I235" s="4" t="n">
        <v>8810.784338007561</v>
      </c>
      <c r="J235" t="inlineStr">
        <is>
          <t>actif</t>
        </is>
      </c>
    </row>
    <row r="236">
      <c r="A236" t="inlineStr">
        <is>
          <t>CTR-00237</t>
        </is>
      </c>
      <c r="B236" t="inlineStr">
        <is>
          <t>CLI-00187</t>
        </is>
      </c>
      <c r="C236" t="inlineStr">
        <is>
          <t>Île-de-France</t>
        </is>
      </c>
      <c r="D236" t="inlineStr">
        <is>
          <t>materiel</t>
        </is>
      </c>
      <c r="E236" t="inlineStr">
        <is>
          <t>crédit-bail</t>
        </is>
      </c>
      <c r="F236" t="inlineStr">
        <is>
          <t>2025-07-22</t>
        </is>
      </c>
      <c r="G236" s="4" t="n">
        <v>140323.48</v>
      </c>
      <c r="H236" s="4">
        <f>MAX(0,G236-SUMIFS('Paiements contrat'!$B:$B,'Paiements contrat'!$A:$A,A236))</f>
        <v/>
      </c>
      <c r="I236" s="4" t="n">
        <v>114599.61</v>
      </c>
      <c r="J236" t="inlineStr">
        <is>
          <t>actif</t>
        </is>
      </c>
    </row>
    <row r="237">
      <c r="A237" t="inlineStr">
        <is>
          <t>CTR-00238</t>
        </is>
      </c>
      <c r="B237" t="inlineStr">
        <is>
          <t>CLI-00578</t>
        </is>
      </c>
      <c r="C237" t="inlineStr">
        <is>
          <t>Martinique</t>
        </is>
      </c>
      <c r="D237" t="inlineStr">
        <is>
          <t>auto</t>
        </is>
      </c>
      <c r="E237" t="inlineStr">
        <is>
          <t>LOA</t>
        </is>
      </c>
      <c r="F237" t="inlineStr">
        <is>
          <t>2025-07-25</t>
        </is>
      </c>
      <c r="G237" s="4" t="n">
        <v>57989.74</v>
      </c>
      <c r="H237" s="4">
        <f>MAX(0,G237-SUMIFS('Paiements contrat'!$B:$B,'Paiements contrat'!$A:$A,A237))</f>
        <v/>
      </c>
      <c r="I237" s="4" t="n">
        <v>47107.47</v>
      </c>
      <c r="J237" t="inlineStr">
        <is>
          <t>actif</t>
        </is>
      </c>
    </row>
    <row r="238">
      <c r="A238" t="inlineStr">
        <is>
          <t>CTR-00239</t>
        </is>
      </c>
      <c r="B238" t="inlineStr">
        <is>
          <t>CLI-01257</t>
        </is>
      </c>
      <c r="C238" t="inlineStr">
        <is>
          <t>Martinique</t>
        </is>
      </c>
      <c r="D238" t="inlineStr">
        <is>
          <t>materiel</t>
        </is>
      </c>
      <c r="E238" t="inlineStr">
        <is>
          <t>crédit-bail</t>
        </is>
      </c>
      <c r="F238" t="inlineStr">
        <is>
          <t>2025-07-24</t>
        </is>
      </c>
      <c r="G238" s="4" t="n">
        <v>150279.58</v>
      </c>
      <c r="H238" s="4">
        <f>MAX(0,G238-SUMIFS('Paiements contrat'!$B:$B,'Paiements contrat'!$A:$A,A238))</f>
        <v/>
      </c>
      <c r="I238" s="4" t="n">
        <v>125491.0141149841</v>
      </c>
      <c r="J238" t="inlineStr">
        <is>
          <t>actif</t>
        </is>
      </c>
    </row>
    <row r="239">
      <c r="A239" t="inlineStr">
        <is>
          <t>CTR-00240</t>
        </is>
      </c>
      <c r="B239" t="inlineStr">
        <is>
          <t>CLI-00516</t>
        </is>
      </c>
      <c r="C239" t="inlineStr">
        <is>
          <t>Île-de-France</t>
        </is>
      </c>
      <c r="D239" t="inlineStr">
        <is>
          <t>auto</t>
        </is>
      </c>
      <c r="E239" t="inlineStr">
        <is>
          <t>LLD</t>
        </is>
      </c>
      <c r="F239" t="inlineStr">
        <is>
          <t>2024-10-03</t>
        </is>
      </c>
      <c r="G239" s="4" t="n">
        <v>13371.24</v>
      </c>
      <c r="H239" s="4">
        <f>MAX(0,G239-SUMIFS('Paiements contrat'!$B:$B,'Paiements contrat'!$A:$A,A239))</f>
        <v/>
      </c>
      <c r="I239" s="4" t="n">
        <v>7229.07</v>
      </c>
      <c r="J239" t="inlineStr">
        <is>
          <t>actif</t>
        </is>
      </c>
    </row>
    <row r="240">
      <c r="A240" t="inlineStr">
        <is>
          <t>CTR-00241</t>
        </is>
      </c>
      <c r="B240" t="inlineStr">
        <is>
          <t>CLI-00020</t>
        </is>
      </c>
      <c r="C240" t="inlineStr">
        <is>
          <t>Île-de-France</t>
        </is>
      </c>
      <c r="D240" t="inlineStr">
        <is>
          <t>auto</t>
        </is>
      </c>
      <c r="E240" t="inlineStr">
        <is>
          <t>LOA</t>
        </is>
      </c>
      <c r="F240" t="inlineStr">
        <is>
          <t>2024-10-26</t>
        </is>
      </c>
      <c r="G240" s="4" t="n">
        <v>70501.37</v>
      </c>
      <c r="H240" s="4">
        <f>MAX(0,G240-SUMIFS('Paiements contrat'!$B:$B,'Paiements contrat'!$A:$A,A240))</f>
        <v/>
      </c>
      <c r="I240" s="4" t="n">
        <v>27533.6</v>
      </c>
      <c r="J240" t="inlineStr">
        <is>
          <t>actif</t>
        </is>
      </c>
    </row>
    <row r="241">
      <c r="A241" t="inlineStr">
        <is>
          <t>CTR-00242</t>
        </is>
      </c>
      <c r="B241" t="inlineStr">
        <is>
          <t>CLI-00869</t>
        </is>
      </c>
      <c r="C241" t="inlineStr">
        <is>
          <t>Île-de-France</t>
        </is>
      </c>
      <c r="D241" t="inlineStr">
        <is>
          <t>auto</t>
        </is>
      </c>
      <c r="E241" t="inlineStr">
        <is>
          <t>LLD</t>
        </is>
      </c>
      <c r="F241" t="inlineStr">
        <is>
          <t>2024-12-02</t>
        </is>
      </c>
      <c r="G241" s="4" t="n">
        <v>56398.81</v>
      </c>
      <c r="H241" s="4">
        <f>MAX(0,G241-SUMIFS('Paiements contrat'!$B:$B,'Paiements contrat'!$A:$A,A241))</f>
        <v/>
      </c>
      <c r="I241" s="4" t="n">
        <v>44081.14999999999</v>
      </c>
      <c r="J241" t="inlineStr">
        <is>
          <t>actif</t>
        </is>
      </c>
    </row>
    <row r="242">
      <c r="A242" t="inlineStr">
        <is>
          <t>CTR-00243</t>
        </is>
      </c>
      <c r="B242" t="inlineStr">
        <is>
          <t>CLI-01259</t>
        </is>
      </c>
      <c r="C242" t="inlineStr">
        <is>
          <t>Martinique</t>
        </is>
      </c>
      <c r="D242" t="inlineStr">
        <is>
          <t>auto</t>
        </is>
      </c>
      <c r="E242" t="inlineStr">
        <is>
          <t>LOA</t>
        </is>
      </c>
      <c r="F242" t="inlineStr">
        <is>
          <t>2025-07-18</t>
        </is>
      </c>
      <c r="G242" s="4" t="n">
        <v>18264.62</v>
      </c>
      <c r="H242" s="4">
        <f>MAX(0,G242-SUMIFS('Paiements contrat'!$B:$B,'Paiements contrat'!$A:$A,A242))</f>
        <v/>
      </c>
      <c r="I242" s="4" t="n">
        <v>12424</v>
      </c>
      <c r="J242" t="inlineStr">
        <is>
          <t>actif</t>
        </is>
      </c>
    </row>
    <row r="243">
      <c r="A243" t="inlineStr">
        <is>
          <t>CTR-00244</t>
        </is>
      </c>
      <c r="B243" t="inlineStr">
        <is>
          <t>CLI-00600</t>
        </is>
      </c>
      <c r="C243" t="inlineStr">
        <is>
          <t>Île-de-France</t>
        </is>
      </c>
      <c r="D243" t="inlineStr">
        <is>
          <t>bateau</t>
        </is>
      </c>
      <c r="E243" t="inlineStr">
        <is>
          <t>LOA</t>
        </is>
      </c>
      <c r="F243" t="inlineStr">
        <is>
          <t>2024-11-24</t>
        </is>
      </c>
      <c r="G243" s="4" t="n">
        <v>29047.7</v>
      </c>
      <c r="H243" s="4">
        <f>MAX(0,G243-SUMIFS('Paiements contrat'!$B:$B,'Paiements contrat'!$A:$A,A243))</f>
        <v/>
      </c>
      <c r="I243" s="4" t="n">
        <v>17434.46</v>
      </c>
      <c r="J243" t="inlineStr">
        <is>
          <t>actif</t>
        </is>
      </c>
    </row>
    <row r="244">
      <c r="A244" t="inlineStr">
        <is>
          <t>CTR-00245</t>
        </is>
      </c>
      <c r="B244" t="inlineStr">
        <is>
          <t>CLI-01157</t>
        </is>
      </c>
      <c r="C244" t="inlineStr">
        <is>
          <t>Île-de-France</t>
        </is>
      </c>
      <c r="D244" t="inlineStr">
        <is>
          <t>materiel</t>
        </is>
      </c>
      <c r="E244" t="inlineStr">
        <is>
          <t>crédit-bail</t>
        </is>
      </c>
      <c r="F244" t="inlineStr">
        <is>
          <t>2024-05-04</t>
        </is>
      </c>
      <c r="G244" s="4" t="n">
        <v>72908.03</v>
      </c>
      <c r="H244" s="4">
        <f>MAX(0,G244-SUMIFS('Paiements contrat'!$B:$B,'Paiements contrat'!$A:$A,A244))</f>
        <v/>
      </c>
      <c r="I244" s="4" t="n">
        <v>5945.539999999994</v>
      </c>
      <c r="J244" t="inlineStr">
        <is>
          <t>soldé</t>
        </is>
      </c>
    </row>
    <row r="245">
      <c r="A245" t="inlineStr">
        <is>
          <t>CTR-00246</t>
        </is>
      </c>
      <c r="B245" t="inlineStr">
        <is>
          <t>CLI-00257</t>
        </is>
      </c>
      <c r="C245" t="inlineStr">
        <is>
          <t>Île-de-France</t>
        </is>
      </c>
      <c r="D245" t="inlineStr">
        <is>
          <t>auto</t>
        </is>
      </c>
      <c r="E245" t="inlineStr">
        <is>
          <t>LOA</t>
        </is>
      </c>
      <c r="F245" t="inlineStr">
        <is>
          <t>2025-02-23</t>
        </is>
      </c>
      <c r="G245" s="4" t="n">
        <v>44575.65</v>
      </c>
      <c r="H245" s="4">
        <f>MAX(0,G245-SUMIFS('Paiements contrat'!$B:$B,'Paiements contrat'!$A:$A,A245))</f>
        <v/>
      </c>
      <c r="I245" s="4" t="n">
        <v>35036.24000000001</v>
      </c>
      <c r="J245" t="inlineStr">
        <is>
          <t>actif</t>
        </is>
      </c>
    </row>
    <row r="246">
      <c r="A246" t="inlineStr">
        <is>
          <t>CTR-00247</t>
        </is>
      </c>
      <c r="B246" t="inlineStr">
        <is>
          <t>CLI-01070</t>
        </is>
      </c>
      <c r="C246" t="inlineStr">
        <is>
          <t>Île-de-France</t>
        </is>
      </c>
      <c r="D246" t="inlineStr">
        <is>
          <t>auto</t>
        </is>
      </c>
      <c r="E246" t="inlineStr">
        <is>
          <t>LOA</t>
        </is>
      </c>
      <c r="F246" t="inlineStr">
        <is>
          <t>2024-10-12</t>
        </is>
      </c>
      <c r="G246" s="4" t="n">
        <v>45189.37</v>
      </c>
      <c r="H246" s="4">
        <f>MAX(0,G246-SUMIFS('Paiements contrat'!$B:$B,'Paiements contrat'!$A:$A,A246))</f>
        <v/>
      </c>
      <c r="I246" s="4" t="n">
        <v>30593.32</v>
      </c>
      <c r="J246" t="inlineStr">
        <is>
          <t>actif</t>
        </is>
      </c>
    </row>
    <row r="247">
      <c r="A247" t="inlineStr">
        <is>
          <t>CTR-00248</t>
        </is>
      </c>
      <c r="B247" t="inlineStr">
        <is>
          <t>CLI-01394</t>
        </is>
      </c>
      <c r="C247" t="inlineStr">
        <is>
          <t>Île-de-France</t>
        </is>
      </c>
      <c r="D247" t="inlineStr">
        <is>
          <t>auto</t>
        </is>
      </c>
      <c r="E247" t="inlineStr">
        <is>
          <t>LOA</t>
        </is>
      </c>
      <c r="F247" t="inlineStr">
        <is>
          <t>2024-12-11</t>
        </is>
      </c>
      <c r="G247" s="4" t="n">
        <v>71734.07000000001</v>
      </c>
      <c r="H247" s="4">
        <f>MAX(0,G247-SUMIFS('Paiements contrat'!$B:$B,'Paiements contrat'!$A:$A,A247))</f>
        <v/>
      </c>
      <c r="I247" s="4" t="n">
        <v>31232.39000000001</v>
      </c>
      <c r="J247" t="inlineStr">
        <is>
          <t>actif</t>
        </is>
      </c>
    </row>
    <row r="248">
      <c r="A248" t="inlineStr">
        <is>
          <t>CTR-00249</t>
        </is>
      </c>
      <c r="B248" t="inlineStr">
        <is>
          <t>CLI-01052</t>
        </is>
      </c>
      <c r="C248" t="inlineStr">
        <is>
          <t>Île-de-France</t>
        </is>
      </c>
      <c r="D248" t="inlineStr">
        <is>
          <t>auto</t>
        </is>
      </c>
      <c r="E248" t="inlineStr">
        <is>
          <t>LLD</t>
        </is>
      </c>
      <c r="F248" t="inlineStr">
        <is>
          <t>2024-11-11</t>
        </is>
      </c>
      <c r="G248" s="4" t="n">
        <v>54547.75</v>
      </c>
      <c r="H248" s="4">
        <f>MAX(0,G248-SUMIFS('Paiements contrat'!$B:$B,'Paiements contrat'!$A:$A,A248))</f>
        <v/>
      </c>
      <c r="I248" s="4" t="n">
        <v>38858.56</v>
      </c>
      <c r="J248" t="inlineStr">
        <is>
          <t>actif</t>
        </is>
      </c>
    </row>
    <row r="249">
      <c r="A249" t="inlineStr">
        <is>
          <t>CTR-00250</t>
        </is>
      </c>
      <c r="B249" t="inlineStr">
        <is>
          <t>CLI-01036</t>
        </is>
      </c>
      <c r="C249" t="inlineStr">
        <is>
          <t>Réunion</t>
        </is>
      </c>
      <c r="D249" t="inlineStr">
        <is>
          <t>bateau</t>
        </is>
      </c>
      <c r="E249" t="inlineStr">
        <is>
          <t>LOA</t>
        </is>
      </c>
      <c r="F249" t="inlineStr">
        <is>
          <t>2025-04-22</t>
        </is>
      </c>
      <c r="G249" s="4" t="n">
        <v>268226.27</v>
      </c>
      <c r="H249" s="4">
        <f>MAX(0,G249-SUMIFS('Paiements contrat'!$B:$B,'Paiements contrat'!$A:$A,A249))</f>
        <v/>
      </c>
      <c r="I249" s="4" t="n">
        <v>197149.95</v>
      </c>
      <c r="J249" t="inlineStr">
        <is>
          <t>actif</t>
        </is>
      </c>
    </row>
    <row r="250">
      <c r="A250" t="inlineStr">
        <is>
          <t>CTR-00251</t>
        </is>
      </c>
      <c r="B250" t="inlineStr">
        <is>
          <t>CLI-01173</t>
        </is>
      </c>
      <c r="C250" t="inlineStr">
        <is>
          <t>Île-de-France</t>
        </is>
      </c>
      <c r="D250" t="inlineStr">
        <is>
          <t>materiel</t>
        </is>
      </c>
      <c r="E250" t="inlineStr">
        <is>
          <t>crédit-bail</t>
        </is>
      </c>
      <c r="F250" t="inlineStr">
        <is>
          <t>2025-06-21</t>
        </is>
      </c>
      <c r="G250" s="4" t="n">
        <v>68902.28</v>
      </c>
      <c r="H250" s="4">
        <f>MAX(0,G250-SUMIFS('Paiements contrat'!$B:$B,'Paiements contrat'!$A:$A,A250))</f>
        <v/>
      </c>
      <c r="I250" s="4" t="n">
        <v>39127.59</v>
      </c>
      <c r="J250" t="inlineStr">
        <is>
          <t>actif</t>
        </is>
      </c>
    </row>
    <row r="251">
      <c r="A251" t="inlineStr">
        <is>
          <t>CTR-00252</t>
        </is>
      </c>
      <c r="B251" t="inlineStr">
        <is>
          <t>CLI-00716</t>
        </is>
      </c>
      <c r="C251" t="inlineStr">
        <is>
          <t>Île-de-France</t>
        </is>
      </c>
      <c r="D251" t="inlineStr">
        <is>
          <t>materiel</t>
        </is>
      </c>
      <c r="E251" t="inlineStr">
        <is>
          <t>crédit-bail</t>
        </is>
      </c>
      <c r="F251" t="inlineStr">
        <is>
          <t>2026-03-27</t>
        </is>
      </c>
      <c r="G251" s="4" t="n">
        <v>33699.84</v>
      </c>
      <c r="H251" s="4">
        <f>MAX(0,G251-SUMIFS('Paiements contrat'!$B:$B,'Paiements contrat'!$A:$A,A251))</f>
        <v/>
      </c>
      <c r="I251" s="4" t="n">
        <v>33699.84</v>
      </c>
      <c r="J251" t="inlineStr">
        <is>
          <t>actif</t>
        </is>
      </c>
    </row>
    <row r="252">
      <c r="A252" t="inlineStr">
        <is>
          <t>CTR-00253</t>
        </is>
      </c>
      <c r="B252" t="inlineStr">
        <is>
          <t>CLI-00198</t>
        </is>
      </c>
      <c r="C252" t="inlineStr">
        <is>
          <t>Île-de-France</t>
        </is>
      </c>
      <c r="D252" t="inlineStr">
        <is>
          <t>auto</t>
        </is>
      </c>
      <c r="E252" t="inlineStr">
        <is>
          <t>LLD</t>
        </is>
      </c>
      <c r="F252" t="inlineStr">
        <is>
          <t>2024-10-25</t>
        </is>
      </c>
      <c r="G252" s="4" t="n">
        <v>43225.4</v>
      </c>
      <c r="H252" s="4">
        <f>MAX(0,G252-SUMIFS('Paiements contrat'!$B:$B,'Paiements contrat'!$A:$A,A252))</f>
        <v/>
      </c>
      <c r="I252" s="4" t="n">
        <v>13691.61439075182</v>
      </c>
      <c r="J252" t="inlineStr">
        <is>
          <t>actif</t>
        </is>
      </c>
    </row>
    <row r="253">
      <c r="A253" t="inlineStr">
        <is>
          <t>CTR-00254</t>
        </is>
      </c>
      <c r="B253" t="inlineStr">
        <is>
          <t>CLI-00568</t>
        </is>
      </c>
      <c r="C253" t="inlineStr">
        <is>
          <t>Île-de-France</t>
        </is>
      </c>
      <c r="D253" t="inlineStr">
        <is>
          <t>auto</t>
        </is>
      </c>
      <c r="E253" t="inlineStr">
        <is>
          <t>LLD</t>
        </is>
      </c>
      <c r="F253" t="inlineStr">
        <is>
          <t>2025-12-04</t>
        </is>
      </c>
      <c r="G253" s="4" t="n">
        <v>39621.32</v>
      </c>
      <c r="H253" s="4">
        <f>MAX(0,G253-SUMIFS('Paiements contrat'!$B:$B,'Paiements contrat'!$A:$A,A253))</f>
        <v/>
      </c>
      <c r="I253" s="4" t="n">
        <v>37524.8</v>
      </c>
      <c r="J253" t="inlineStr">
        <is>
          <t>actif</t>
        </is>
      </c>
    </row>
    <row r="254">
      <c r="A254" t="inlineStr">
        <is>
          <t>CTR-00255</t>
        </is>
      </c>
      <c r="B254" t="inlineStr">
        <is>
          <t>CLI-01058</t>
        </is>
      </c>
      <c r="C254" t="inlineStr">
        <is>
          <t>Martinique</t>
        </is>
      </c>
      <c r="D254" t="inlineStr">
        <is>
          <t>materiel</t>
        </is>
      </c>
      <c r="E254" t="inlineStr">
        <is>
          <t>crédit-bail</t>
        </is>
      </c>
      <c r="F254" t="inlineStr">
        <is>
          <t>2025-11-06</t>
        </is>
      </c>
      <c r="G254" s="4" t="n">
        <v>108515.35</v>
      </c>
      <c r="H254" s="4">
        <f>MAX(0,G254-SUMIFS('Paiements contrat'!$B:$B,'Paiements contrat'!$A:$A,A254))</f>
        <v/>
      </c>
      <c r="I254" s="4" t="n">
        <v>85029.64000000001</v>
      </c>
      <c r="J254" t="inlineStr">
        <is>
          <t>actif</t>
        </is>
      </c>
    </row>
    <row r="255">
      <c r="A255" t="inlineStr">
        <is>
          <t>CTR-00256</t>
        </is>
      </c>
      <c r="B255" t="inlineStr">
        <is>
          <t>CLI-00015</t>
        </is>
      </c>
      <c r="C255" t="inlineStr">
        <is>
          <t>Réunion</t>
        </is>
      </c>
      <c r="D255" t="inlineStr">
        <is>
          <t>auto</t>
        </is>
      </c>
      <c r="E255" t="inlineStr">
        <is>
          <t>LOA</t>
        </is>
      </c>
      <c r="F255" t="inlineStr">
        <is>
          <t>2025-09-05</t>
        </is>
      </c>
      <c r="G255" s="4" t="n">
        <v>57660.18</v>
      </c>
      <c r="H255" s="4">
        <f>MAX(0,G255-SUMIFS('Paiements contrat'!$B:$B,'Paiements contrat'!$A:$A,A255))</f>
        <v/>
      </c>
      <c r="I255" s="4" t="n">
        <v>47054.02697467306</v>
      </c>
      <c r="J255" t="inlineStr">
        <is>
          <t>actif</t>
        </is>
      </c>
    </row>
    <row r="256">
      <c r="A256" t="inlineStr">
        <is>
          <t>CTR-00257</t>
        </is>
      </c>
      <c r="B256" t="inlineStr">
        <is>
          <t>CLI-00650</t>
        </is>
      </c>
      <c r="C256" t="inlineStr">
        <is>
          <t>Île-de-France</t>
        </is>
      </c>
      <c r="D256" t="inlineStr">
        <is>
          <t>auto</t>
        </is>
      </c>
      <c r="E256" t="inlineStr">
        <is>
          <t>LOA</t>
        </is>
      </c>
      <c r="F256" t="inlineStr">
        <is>
          <t>2024-05-23</t>
        </is>
      </c>
      <c r="G256" s="4" t="n">
        <v>41334.03</v>
      </c>
      <c r="H256" s="4">
        <f>MAX(0,G256-SUMIFS('Paiements contrat'!$B:$B,'Paiements contrat'!$A:$A,A256))</f>
        <v/>
      </c>
      <c r="I256" s="4" t="n">
        <v>21813.23712039236</v>
      </c>
      <c r="J256" t="inlineStr">
        <is>
          <t>contentieux</t>
        </is>
      </c>
    </row>
    <row r="257">
      <c r="A257" t="inlineStr">
        <is>
          <t>CTR-00258</t>
        </is>
      </c>
      <c r="B257" t="inlineStr">
        <is>
          <t>CLI-00365</t>
        </is>
      </c>
      <c r="C257" t="inlineStr">
        <is>
          <t>Guyane</t>
        </is>
      </c>
      <c r="D257" t="inlineStr">
        <is>
          <t>materiel</t>
        </is>
      </c>
      <c r="E257" t="inlineStr">
        <is>
          <t>crédit-bail</t>
        </is>
      </c>
      <c r="F257" t="inlineStr">
        <is>
          <t>2026-02-27</t>
        </is>
      </c>
      <c r="G257" s="4" t="n">
        <v>102132.95</v>
      </c>
      <c r="H257" s="4">
        <f>MAX(0,G257-SUMIFS('Paiements contrat'!$B:$B,'Paiements contrat'!$A:$A,A257))</f>
        <v/>
      </c>
      <c r="I257" s="4" t="n">
        <v>98128.23</v>
      </c>
      <c r="J257" t="inlineStr">
        <is>
          <t>actif</t>
        </is>
      </c>
    </row>
    <row r="258">
      <c r="A258" t="inlineStr">
        <is>
          <t>CTR-00259</t>
        </is>
      </c>
      <c r="B258" t="inlineStr">
        <is>
          <t>CLI-00148</t>
        </is>
      </c>
      <c r="C258" t="inlineStr">
        <is>
          <t>Île-de-France</t>
        </is>
      </c>
      <c r="D258" t="inlineStr">
        <is>
          <t>materiel</t>
        </is>
      </c>
      <c r="E258" t="inlineStr">
        <is>
          <t>crédit-bail</t>
        </is>
      </c>
      <c r="F258" t="inlineStr">
        <is>
          <t>2025-08-27</t>
        </is>
      </c>
      <c r="G258" s="4" t="n">
        <v>140366.34</v>
      </c>
      <c r="H258" s="4">
        <f>MAX(0,G258-SUMIFS('Paiements contrat'!$B:$B,'Paiements contrat'!$A:$A,A258))</f>
        <v/>
      </c>
      <c r="I258" s="4" t="n">
        <v>87171.19</v>
      </c>
      <c r="J258" t="inlineStr">
        <is>
          <t>actif</t>
        </is>
      </c>
    </row>
    <row r="259">
      <c r="A259" t="inlineStr">
        <is>
          <t>CTR-00260</t>
        </is>
      </c>
      <c r="B259" t="inlineStr">
        <is>
          <t>CLI-01427</t>
        </is>
      </c>
      <c r="C259" t="inlineStr">
        <is>
          <t>Guadeloupe</t>
        </is>
      </c>
      <c r="D259" t="inlineStr">
        <is>
          <t>auto</t>
        </is>
      </c>
      <c r="E259" t="inlineStr">
        <is>
          <t>LOA</t>
        </is>
      </c>
      <c r="F259" t="inlineStr">
        <is>
          <t>2024-11-01</t>
        </is>
      </c>
      <c r="G259" s="4" t="n">
        <v>50853.64</v>
      </c>
      <c r="H259" s="4">
        <f>MAX(0,G259-SUMIFS('Paiements contrat'!$B:$B,'Paiements contrat'!$A:$A,A259))</f>
        <v/>
      </c>
      <c r="I259" s="4" t="n">
        <v>19164.30046587758</v>
      </c>
      <c r="J259" t="inlineStr">
        <is>
          <t>actif</t>
        </is>
      </c>
    </row>
    <row r="260">
      <c r="A260" t="inlineStr">
        <is>
          <t>CTR-00261</t>
        </is>
      </c>
      <c r="B260" t="inlineStr">
        <is>
          <t>CLI-01490</t>
        </is>
      </c>
      <c r="C260" t="inlineStr">
        <is>
          <t>Guadeloupe</t>
        </is>
      </c>
      <c r="D260" t="inlineStr">
        <is>
          <t>auto</t>
        </is>
      </c>
      <c r="E260" t="inlineStr">
        <is>
          <t>LOA</t>
        </is>
      </c>
      <c r="F260" t="inlineStr">
        <is>
          <t>2025-05-04</t>
        </is>
      </c>
      <c r="G260" s="4" t="n">
        <v>63785.95</v>
      </c>
      <c r="H260" s="4">
        <f>MAX(0,G260-SUMIFS('Paiements contrat'!$B:$B,'Paiements contrat'!$A:$A,A260))</f>
        <v/>
      </c>
      <c r="I260" s="4" t="n">
        <v>26737.97</v>
      </c>
      <c r="J260" t="inlineStr">
        <is>
          <t>actif</t>
        </is>
      </c>
    </row>
    <row r="261">
      <c r="A261" t="inlineStr">
        <is>
          <t>CTR-00262</t>
        </is>
      </c>
      <c r="B261" t="inlineStr">
        <is>
          <t>CLI-00474</t>
        </is>
      </c>
      <c r="C261" t="inlineStr">
        <is>
          <t>Île-de-France</t>
        </is>
      </c>
      <c r="D261" t="inlineStr">
        <is>
          <t>auto</t>
        </is>
      </c>
      <c r="E261" t="inlineStr">
        <is>
          <t>LLD</t>
        </is>
      </c>
      <c r="F261" t="inlineStr">
        <is>
          <t>2024-11-03</t>
        </is>
      </c>
      <c r="G261" s="4" t="n">
        <v>17422.41</v>
      </c>
      <c r="H261" s="4">
        <f>MAX(0,G261-SUMIFS('Paiements contrat'!$B:$B,'Paiements contrat'!$A:$A,A261))</f>
        <v/>
      </c>
      <c r="I261" s="4" t="n">
        <v>6780.700000000001</v>
      </c>
      <c r="J261" t="inlineStr">
        <is>
          <t>actif</t>
        </is>
      </c>
    </row>
    <row r="262">
      <c r="A262" t="inlineStr">
        <is>
          <t>CTR-00263</t>
        </is>
      </c>
      <c r="B262" t="inlineStr">
        <is>
          <t>CLI-01216</t>
        </is>
      </c>
      <c r="C262" t="inlineStr">
        <is>
          <t>Réunion</t>
        </is>
      </c>
      <c r="D262" t="inlineStr">
        <is>
          <t>auto</t>
        </is>
      </c>
      <c r="E262" t="inlineStr">
        <is>
          <t>LOA</t>
        </is>
      </c>
      <c r="F262" t="inlineStr">
        <is>
          <t>2025-07-21</t>
        </is>
      </c>
      <c r="G262" s="4" t="n">
        <v>53951.66</v>
      </c>
      <c r="H262" s="4">
        <f>MAX(0,G262-SUMIFS('Paiements contrat'!$B:$B,'Paiements contrat'!$A:$A,A262))</f>
        <v/>
      </c>
      <c r="I262" s="4" t="n">
        <v>18495.64</v>
      </c>
      <c r="J262" t="inlineStr">
        <is>
          <t>actif</t>
        </is>
      </c>
    </row>
    <row r="263">
      <c r="A263" t="inlineStr">
        <is>
          <t>CTR-00264</t>
        </is>
      </c>
      <c r="B263" t="inlineStr">
        <is>
          <t>CLI-01126</t>
        </is>
      </c>
      <c r="C263" t="inlineStr">
        <is>
          <t>Guyane</t>
        </is>
      </c>
      <c r="D263" t="inlineStr">
        <is>
          <t>materiel</t>
        </is>
      </c>
      <c r="E263" t="inlineStr">
        <is>
          <t>crédit-bail</t>
        </is>
      </c>
      <c r="F263" t="inlineStr">
        <is>
          <t>2025-11-04</t>
        </is>
      </c>
      <c r="G263" s="4" t="n">
        <v>42564.33</v>
      </c>
      <c r="H263" s="4">
        <f>MAX(0,G263-SUMIFS('Paiements contrat'!$B:$B,'Paiements contrat'!$A:$A,A263))</f>
        <v/>
      </c>
      <c r="I263" s="4" t="n">
        <v>33251.83</v>
      </c>
      <c r="J263" t="inlineStr">
        <is>
          <t>actif</t>
        </is>
      </c>
    </row>
    <row r="264">
      <c r="A264" t="inlineStr">
        <is>
          <t>CTR-00265</t>
        </is>
      </c>
      <c r="B264" t="inlineStr">
        <is>
          <t>CLI-00497</t>
        </is>
      </c>
      <c r="C264" t="inlineStr">
        <is>
          <t>Martinique</t>
        </is>
      </c>
      <c r="D264" t="inlineStr">
        <is>
          <t>auto</t>
        </is>
      </c>
      <c r="E264" t="inlineStr">
        <is>
          <t>LOA</t>
        </is>
      </c>
      <c r="F264" t="inlineStr">
        <is>
          <t>2025-02-08</t>
        </is>
      </c>
      <c r="G264" s="4" t="n">
        <v>60557.05</v>
      </c>
      <c r="H264" s="4">
        <f>MAX(0,G264-SUMIFS('Paiements contrat'!$B:$B,'Paiements contrat'!$A:$A,A264))</f>
        <v/>
      </c>
      <c r="I264" s="4" t="n">
        <v>41644.11</v>
      </c>
      <c r="J264" t="inlineStr">
        <is>
          <t>actif</t>
        </is>
      </c>
    </row>
    <row r="265">
      <c r="A265" t="inlineStr">
        <is>
          <t>CTR-00266</t>
        </is>
      </c>
      <c r="B265" t="inlineStr">
        <is>
          <t>CLI-00217</t>
        </is>
      </c>
      <c r="C265" t="inlineStr">
        <is>
          <t>Martinique</t>
        </is>
      </c>
      <c r="D265" t="inlineStr">
        <is>
          <t>auto</t>
        </is>
      </c>
      <c r="E265" t="inlineStr">
        <is>
          <t>LOA</t>
        </is>
      </c>
      <c r="F265" t="inlineStr">
        <is>
          <t>2025-01-25</t>
        </is>
      </c>
      <c r="G265" s="4" t="n">
        <v>46466.94</v>
      </c>
      <c r="H265" s="4">
        <f>MAX(0,G265-SUMIFS('Paiements contrat'!$B:$B,'Paiements contrat'!$A:$A,A265))</f>
        <v/>
      </c>
      <c r="I265" s="4" t="n">
        <v>33009.33</v>
      </c>
      <c r="J265" t="inlineStr">
        <is>
          <t>actif</t>
        </is>
      </c>
    </row>
    <row r="266">
      <c r="A266" t="inlineStr">
        <is>
          <t>CTR-00267</t>
        </is>
      </c>
      <c r="B266" t="inlineStr">
        <is>
          <t>CLI-00793</t>
        </is>
      </c>
      <c r="C266" t="inlineStr">
        <is>
          <t>Île-de-France</t>
        </is>
      </c>
      <c r="D266" t="inlineStr">
        <is>
          <t>auto</t>
        </is>
      </c>
      <c r="E266" t="inlineStr">
        <is>
          <t>LOA</t>
        </is>
      </c>
      <c r="F266" t="inlineStr">
        <is>
          <t>2025-08-26</t>
        </is>
      </c>
      <c r="G266" s="4" t="n">
        <v>38885.67</v>
      </c>
      <c r="H266" s="4">
        <f>MAX(0,G266-SUMIFS('Paiements contrat'!$B:$B,'Paiements contrat'!$A:$A,A266))</f>
        <v/>
      </c>
      <c r="I266" s="4" t="n">
        <v>31681.96</v>
      </c>
      <c r="J266" t="inlineStr">
        <is>
          <t>actif</t>
        </is>
      </c>
    </row>
    <row r="267">
      <c r="A267" t="inlineStr">
        <is>
          <t>CTR-00268</t>
        </is>
      </c>
      <c r="B267" t="inlineStr">
        <is>
          <t>CLI-00473</t>
        </is>
      </c>
      <c r="C267" t="inlineStr">
        <is>
          <t>Île-de-France</t>
        </is>
      </c>
      <c r="D267" t="inlineStr">
        <is>
          <t>auto</t>
        </is>
      </c>
      <c r="E267" t="inlineStr">
        <is>
          <t>LLD</t>
        </is>
      </c>
      <c r="F267" t="inlineStr">
        <is>
          <t>2024-09-04</t>
        </is>
      </c>
      <c r="G267" s="4" t="n">
        <v>50348.93</v>
      </c>
      <c r="H267" s="4">
        <f>MAX(0,G267-SUMIFS('Paiements contrat'!$B:$B,'Paiements contrat'!$A:$A,A267))</f>
        <v/>
      </c>
      <c r="I267" s="4" t="n">
        <v>17075.08</v>
      </c>
      <c r="J267" t="inlineStr">
        <is>
          <t>actif</t>
        </is>
      </c>
    </row>
    <row r="268">
      <c r="A268" t="inlineStr">
        <is>
          <t>CTR-00269</t>
        </is>
      </c>
      <c r="B268" t="inlineStr">
        <is>
          <t>CLI-00858</t>
        </is>
      </c>
      <c r="C268" t="inlineStr">
        <is>
          <t>Réunion</t>
        </is>
      </c>
      <c r="D268" t="inlineStr">
        <is>
          <t>auto</t>
        </is>
      </c>
      <c r="E268" t="inlineStr">
        <is>
          <t>LOA</t>
        </is>
      </c>
      <c r="F268" t="inlineStr">
        <is>
          <t>2025-01-21</t>
        </is>
      </c>
      <c r="G268" s="4" t="n">
        <v>38900.32</v>
      </c>
      <c r="H268" s="4">
        <f>MAX(0,G268-SUMIFS('Paiements contrat'!$B:$B,'Paiements contrat'!$A:$A,A268))</f>
        <v/>
      </c>
      <c r="I268" s="4" t="n">
        <v>31404.47804113663</v>
      </c>
      <c r="J268" t="inlineStr">
        <is>
          <t>actif</t>
        </is>
      </c>
    </row>
    <row r="269">
      <c r="A269" t="inlineStr">
        <is>
          <t>CTR-00270</t>
        </is>
      </c>
      <c r="B269" t="inlineStr">
        <is>
          <t>CLI-00191</t>
        </is>
      </c>
      <c r="C269" t="inlineStr">
        <is>
          <t>Île-de-France</t>
        </is>
      </c>
      <c r="D269" t="inlineStr">
        <is>
          <t>auto</t>
        </is>
      </c>
      <c r="E269" t="inlineStr">
        <is>
          <t>LOA</t>
        </is>
      </c>
      <c r="F269" t="inlineStr">
        <is>
          <t>2024-07-02</t>
        </is>
      </c>
      <c r="G269" s="4" t="n">
        <v>26358.27</v>
      </c>
      <c r="H269" s="4">
        <f>MAX(0,G269-SUMIFS('Paiements contrat'!$B:$B,'Paiements contrat'!$A:$A,A269))</f>
        <v/>
      </c>
      <c r="I269" s="4" t="n">
        <v>15131.95</v>
      </c>
      <c r="J269" t="inlineStr">
        <is>
          <t>actif</t>
        </is>
      </c>
    </row>
    <row r="270">
      <c r="A270" t="inlineStr">
        <is>
          <t>CTR-00271</t>
        </is>
      </c>
      <c r="B270" t="inlineStr">
        <is>
          <t>CLI-00882</t>
        </is>
      </c>
      <c r="C270" t="inlineStr">
        <is>
          <t>Île-de-France</t>
        </is>
      </c>
      <c r="D270" t="inlineStr">
        <is>
          <t>auto</t>
        </is>
      </c>
      <c r="E270" t="inlineStr">
        <is>
          <t>LOA</t>
        </is>
      </c>
      <c r="F270" t="inlineStr">
        <is>
          <t>2024-11-21</t>
        </is>
      </c>
      <c r="G270" s="4" t="n">
        <v>53243.02</v>
      </c>
      <c r="H270" s="4">
        <f>MAX(0,G270-SUMIFS('Paiements contrat'!$B:$B,'Paiements contrat'!$A:$A,A270))</f>
        <v/>
      </c>
      <c r="I270" s="4" t="n">
        <v>38699.64</v>
      </c>
      <c r="J270" t="inlineStr">
        <is>
          <t>actif</t>
        </is>
      </c>
    </row>
    <row r="271">
      <c r="A271" t="inlineStr">
        <is>
          <t>CTR-00272</t>
        </is>
      </c>
      <c r="B271" t="inlineStr">
        <is>
          <t>CLI-00914</t>
        </is>
      </c>
      <c r="C271" t="inlineStr">
        <is>
          <t>Île-de-France</t>
        </is>
      </c>
      <c r="D271" t="inlineStr">
        <is>
          <t>auto</t>
        </is>
      </c>
      <c r="E271" t="inlineStr">
        <is>
          <t>LLD</t>
        </is>
      </c>
      <c r="F271" t="inlineStr">
        <is>
          <t>2024-06-21</t>
        </is>
      </c>
      <c r="G271" s="4" t="n">
        <v>37838.56</v>
      </c>
      <c r="H271" s="4">
        <f>MAX(0,G271-SUMIFS('Paiements contrat'!$B:$B,'Paiements contrat'!$A:$A,A271))</f>
        <v/>
      </c>
      <c r="I271" s="4" t="n">
        <v>17819.15</v>
      </c>
      <c r="J271" t="inlineStr">
        <is>
          <t>actif</t>
        </is>
      </c>
    </row>
    <row r="272">
      <c r="A272" t="inlineStr">
        <is>
          <t>CTR-00273</t>
        </is>
      </c>
      <c r="B272" t="inlineStr">
        <is>
          <t>CLI-00901</t>
        </is>
      </c>
      <c r="C272" t="inlineStr">
        <is>
          <t>Île-de-France</t>
        </is>
      </c>
      <c r="D272" t="inlineStr">
        <is>
          <t>materiel</t>
        </is>
      </c>
      <c r="E272" t="inlineStr">
        <is>
          <t>crédit-bail</t>
        </is>
      </c>
      <c r="F272" t="inlineStr">
        <is>
          <t>2026-01-25</t>
        </is>
      </c>
      <c r="G272" s="4" t="n">
        <v>166836.6</v>
      </c>
      <c r="H272" s="4">
        <f>MAX(0,G272-SUMIFS('Paiements contrat'!$B:$B,'Paiements contrat'!$A:$A,A272))</f>
        <v/>
      </c>
      <c r="I272" s="4" t="n">
        <v>156231.89</v>
      </c>
      <c r="J272" t="inlineStr">
        <is>
          <t>actif</t>
        </is>
      </c>
    </row>
    <row r="273">
      <c r="A273" t="inlineStr">
        <is>
          <t>CTR-00274</t>
        </is>
      </c>
      <c r="B273" t="inlineStr">
        <is>
          <t>CLI-00566</t>
        </is>
      </c>
      <c r="C273" t="inlineStr">
        <is>
          <t>Île-de-France</t>
        </is>
      </c>
      <c r="D273" t="inlineStr">
        <is>
          <t>materiel</t>
        </is>
      </c>
      <c r="E273" t="inlineStr">
        <is>
          <t>crédit-bail</t>
        </is>
      </c>
      <c r="F273" t="inlineStr">
        <is>
          <t>2025-07-26</t>
        </is>
      </c>
      <c r="G273" s="4" t="n">
        <v>45722.18</v>
      </c>
      <c r="H273" s="4">
        <f>MAX(0,G273-SUMIFS('Paiements contrat'!$B:$B,'Paiements contrat'!$A:$A,A273))</f>
        <v/>
      </c>
      <c r="I273" s="4" t="n">
        <v>31111.65</v>
      </c>
      <c r="J273" t="inlineStr">
        <is>
          <t>actif</t>
        </is>
      </c>
    </row>
    <row r="274">
      <c r="A274" t="inlineStr">
        <is>
          <t>CTR-00275</t>
        </is>
      </c>
      <c r="B274" t="inlineStr">
        <is>
          <t>CLI-00323</t>
        </is>
      </c>
      <c r="C274" t="inlineStr">
        <is>
          <t>Réunion</t>
        </is>
      </c>
      <c r="D274" t="inlineStr">
        <is>
          <t>auto</t>
        </is>
      </c>
      <c r="E274" t="inlineStr">
        <is>
          <t>LOA</t>
        </is>
      </c>
      <c r="F274" t="inlineStr">
        <is>
          <t>2026-02-16</t>
        </is>
      </c>
      <c r="G274" s="4" t="n">
        <v>39299.89</v>
      </c>
      <c r="H274" s="4">
        <f>MAX(0,G274-SUMIFS('Paiements contrat'!$B:$B,'Paiements contrat'!$A:$A,A274))</f>
        <v/>
      </c>
      <c r="I274" s="4" t="n">
        <v>39299.89</v>
      </c>
      <c r="J274" t="inlineStr">
        <is>
          <t>actif</t>
        </is>
      </c>
    </row>
    <row r="275">
      <c r="A275" t="inlineStr">
        <is>
          <t>CTR-00276</t>
        </is>
      </c>
      <c r="B275" t="inlineStr">
        <is>
          <t>CLI-01125</t>
        </is>
      </c>
      <c r="C275" t="inlineStr">
        <is>
          <t>Île-de-France</t>
        </is>
      </c>
      <c r="D275" t="inlineStr">
        <is>
          <t>materiel</t>
        </is>
      </c>
      <c r="E275" t="inlineStr">
        <is>
          <t>crédit-bail</t>
        </is>
      </c>
      <c r="F275" t="inlineStr">
        <is>
          <t>2024-11-13</t>
        </is>
      </c>
      <c r="G275" s="4" t="n">
        <v>153499.92</v>
      </c>
      <c r="H275" s="4">
        <f>MAX(0,G275-SUMIFS('Paiements contrat'!$B:$B,'Paiements contrat'!$A:$A,A275))</f>
        <v/>
      </c>
      <c r="I275" s="4" t="n">
        <v>111375.0863595824</v>
      </c>
      <c r="J275" t="inlineStr">
        <is>
          <t>actif</t>
        </is>
      </c>
    </row>
    <row r="276">
      <c r="A276" t="inlineStr">
        <is>
          <t>CTR-00277</t>
        </is>
      </c>
      <c r="B276" t="inlineStr">
        <is>
          <t>CLI-00516</t>
        </is>
      </c>
      <c r="C276" t="inlineStr">
        <is>
          <t>Île-de-France</t>
        </is>
      </c>
      <c r="D276" t="inlineStr">
        <is>
          <t>materiel</t>
        </is>
      </c>
      <c r="E276" t="inlineStr">
        <is>
          <t>crédit-bail</t>
        </is>
      </c>
      <c r="F276" t="inlineStr">
        <is>
          <t>2025-03-27</t>
        </is>
      </c>
      <c r="G276" s="4" t="n">
        <v>103912.86</v>
      </c>
      <c r="H276" s="4">
        <f>MAX(0,G276-SUMIFS('Paiements contrat'!$B:$B,'Paiements contrat'!$A:$A,A276))</f>
        <v/>
      </c>
      <c r="I276" s="4" t="n">
        <v>81831.47</v>
      </c>
      <c r="J276" t="inlineStr">
        <is>
          <t>actif</t>
        </is>
      </c>
    </row>
    <row r="277">
      <c r="A277" t="inlineStr">
        <is>
          <t>CTR-00278</t>
        </is>
      </c>
      <c r="B277" t="inlineStr">
        <is>
          <t>CLI-00765</t>
        </is>
      </c>
      <c r="C277" t="inlineStr">
        <is>
          <t>Île-de-France</t>
        </is>
      </c>
      <c r="D277" t="inlineStr">
        <is>
          <t>auto</t>
        </is>
      </c>
      <c r="E277" t="inlineStr">
        <is>
          <t>LOA</t>
        </is>
      </c>
      <c r="F277" t="inlineStr">
        <is>
          <t>2024-09-01</t>
        </is>
      </c>
      <c r="G277" s="4" t="n">
        <v>35248.4</v>
      </c>
      <c r="H277" s="4">
        <f>MAX(0,G277-SUMIFS('Paiements contrat'!$B:$B,'Paiements contrat'!$A:$A,A277))</f>
        <v/>
      </c>
      <c r="I277" s="4" t="n">
        <v>21395.16</v>
      </c>
      <c r="J277" t="inlineStr">
        <is>
          <t>actif</t>
        </is>
      </c>
    </row>
    <row r="278">
      <c r="A278" t="inlineStr">
        <is>
          <t>CTR-00279</t>
        </is>
      </c>
      <c r="B278" t="inlineStr">
        <is>
          <t>CLI-01304</t>
        </is>
      </c>
      <c r="C278" t="inlineStr">
        <is>
          <t>Réunion</t>
        </is>
      </c>
      <c r="D278" t="inlineStr">
        <is>
          <t>auto</t>
        </is>
      </c>
      <c r="E278" t="inlineStr">
        <is>
          <t>LOA</t>
        </is>
      </c>
      <c r="F278" t="inlineStr">
        <is>
          <t>2026-02-17</t>
        </is>
      </c>
      <c r="G278" s="4" t="n">
        <v>22751.61</v>
      </c>
      <c r="H278" s="4">
        <f>MAX(0,G278-SUMIFS('Paiements contrat'!$B:$B,'Paiements contrat'!$A:$A,A278))</f>
        <v/>
      </c>
      <c r="I278" s="4" t="n">
        <v>22751.61</v>
      </c>
      <c r="J278" t="inlineStr">
        <is>
          <t>actif</t>
        </is>
      </c>
    </row>
    <row r="279">
      <c r="A279" t="inlineStr">
        <is>
          <t>CTR-00280</t>
        </is>
      </c>
      <c r="B279" t="inlineStr">
        <is>
          <t>CLI-01312</t>
        </is>
      </c>
      <c r="C279" t="inlineStr">
        <is>
          <t>Île-de-France</t>
        </is>
      </c>
      <c r="D279" t="inlineStr">
        <is>
          <t>materiel</t>
        </is>
      </c>
      <c r="E279" t="inlineStr">
        <is>
          <t>crédit-bail</t>
        </is>
      </c>
      <c r="F279" t="inlineStr">
        <is>
          <t>2025-02-07</t>
        </is>
      </c>
      <c r="G279" s="4" t="n">
        <v>45853</v>
      </c>
      <c r="H279" s="4">
        <f>MAX(0,G279-SUMIFS('Paiements contrat'!$B:$B,'Paiements contrat'!$A:$A,A279))</f>
        <v/>
      </c>
      <c r="I279" s="4" t="n">
        <v>30149.01</v>
      </c>
      <c r="J279" t="inlineStr">
        <is>
          <t>actif</t>
        </is>
      </c>
    </row>
    <row r="280">
      <c r="A280" t="inlineStr">
        <is>
          <t>CTR-00281</t>
        </is>
      </c>
      <c r="B280" t="inlineStr">
        <is>
          <t>CLI-00246</t>
        </is>
      </c>
      <c r="C280" t="inlineStr">
        <is>
          <t>Île-de-France</t>
        </is>
      </c>
      <c r="D280" t="inlineStr">
        <is>
          <t>auto</t>
        </is>
      </c>
      <c r="E280" t="inlineStr">
        <is>
          <t>LOA</t>
        </is>
      </c>
      <c r="F280" t="inlineStr">
        <is>
          <t>2026-02-01</t>
        </is>
      </c>
      <c r="G280" s="4" t="n">
        <v>63245.68</v>
      </c>
      <c r="H280" s="4">
        <f>MAX(0,G280-SUMIFS('Paiements contrat'!$B:$B,'Paiements contrat'!$A:$A,A280))</f>
        <v/>
      </c>
      <c r="I280" s="4" t="n">
        <v>63245.68</v>
      </c>
      <c r="J280" t="inlineStr">
        <is>
          <t>actif</t>
        </is>
      </c>
    </row>
    <row r="281">
      <c r="A281" t="inlineStr">
        <is>
          <t>CTR-00282</t>
        </is>
      </c>
      <c r="B281" t="inlineStr">
        <is>
          <t>CLI-01486</t>
        </is>
      </c>
      <c r="C281" t="inlineStr">
        <is>
          <t>Guadeloupe</t>
        </is>
      </c>
      <c r="D281" t="inlineStr">
        <is>
          <t>auto</t>
        </is>
      </c>
      <c r="E281" t="inlineStr">
        <is>
          <t>LOA</t>
        </is>
      </c>
      <c r="F281" t="inlineStr">
        <is>
          <t>2024-10-26</t>
        </is>
      </c>
      <c r="G281" s="4" t="n">
        <v>36464.68</v>
      </c>
      <c r="H281" s="4">
        <f>MAX(0,G281-SUMIFS('Paiements contrat'!$B:$B,'Paiements contrat'!$A:$A,A281))</f>
        <v/>
      </c>
      <c r="I281" s="4" t="n">
        <v>0</v>
      </c>
      <c r="J281" t="inlineStr">
        <is>
          <t>soldé</t>
        </is>
      </c>
    </row>
    <row r="282">
      <c r="A282" t="inlineStr">
        <is>
          <t>CTR-00283</t>
        </is>
      </c>
      <c r="B282" t="inlineStr">
        <is>
          <t>CLI-01390</t>
        </is>
      </c>
      <c r="C282" t="inlineStr">
        <is>
          <t>Île-de-France</t>
        </is>
      </c>
      <c r="D282" t="inlineStr">
        <is>
          <t>bateau</t>
        </is>
      </c>
      <c r="E282" t="inlineStr">
        <is>
          <t>LOA</t>
        </is>
      </c>
      <c r="F282" t="inlineStr">
        <is>
          <t>2024-09-20</t>
        </is>
      </c>
      <c r="G282" s="4" t="n">
        <v>187594.35</v>
      </c>
      <c r="H282" s="4">
        <f>MAX(0,G282-SUMIFS('Paiements contrat'!$B:$B,'Paiements contrat'!$A:$A,A282))</f>
        <v/>
      </c>
      <c r="I282" s="4" t="n">
        <v>126686.64</v>
      </c>
      <c r="J282" t="inlineStr">
        <is>
          <t>actif</t>
        </is>
      </c>
    </row>
    <row r="283">
      <c r="A283" t="inlineStr">
        <is>
          <t>CTR-00284</t>
        </is>
      </c>
      <c r="B283" t="inlineStr">
        <is>
          <t>CLI-00604</t>
        </is>
      </c>
      <c r="C283" t="inlineStr">
        <is>
          <t>Île-de-France</t>
        </is>
      </c>
      <c r="D283" t="inlineStr">
        <is>
          <t>auto</t>
        </is>
      </c>
      <c r="E283" t="inlineStr">
        <is>
          <t>LLD</t>
        </is>
      </c>
      <c r="F283" t="inlineStr">
        <is>
          <t>2025-01-12</t>
        </is>
      </c>
      <c r="G283" s="4" t="n">
        <v>56244.11</v>
      </c>
      <c r="H283" s="4">
        <f>MAX(0,G283-SUMIFS('Paiements contrat'!$B:$B,'Paiements contrat'!$A:$A,A283))</f>
        <v/>
      </c>
      <c r="I283" s="4" t="n">
        <v>15929.88</v>
      </c>
      <c r="J283" t="inlineStr">
        <is>
          <t>actif</t>
        </is>
      </c>
    </row>
    <row r="284">
      <c r="A284" t="inlineStr">
        <is>
          <t>CTR-00286</t>
        </is>
      </c>
      <c r="B284" t="inlineStr">
        <is>
          <t>CLI-00051</t>
        </is>
      </c>
      <c r="C284" t="inlineStr">
        <is>
          <t>Île-de-France</t>
        </is>
      </c>
      <c r="D284" t="inlineStr">
        <is>
          <t>materiel</t>
        </is>
      </c>
      <c r="E284" t="inlineStr">
        <is>
          <t>crédit-bail</t>
        </is>
      </c>
      <c r="F284" t="inlineStr">
        <is>
          <t>2025-03-21</t>
        </is>
      </c>
      <c r="G284" s="4" t="n">
        <v>10314.58</v>
      </c>
      <c r="H284" s="4">
        <f>MAX(0,G284-SUMIFS('Paiements contrat'!$B:$B,'Paiements contrat'!$A:$A,A284))</f>
        <v/>
      </c>
      <c r="I284" s="4" t="n">
        <v>5362.96</v>
      </c>
      <c r="J284" t="inlineStr">
        <is>
          <t>actif</t>
        </is>
      </c>
    </row>
    <row r="285">
      <c r="A285" t="inlineStr">
        <is>
          <t>CTR-00287</t>
        </is>
      </c>
      <c r="B285" t="inlineStr">
        <is>
          <t>CLI-01196</t>
        </is>
      </c>
      <c r="C285" t="inlineStr">
        <is>
          <t>Île-de-France</t>
        </is>
      </c>
      <c r="D285" t="inlineStr">
        <is>
          <t>materiel</t>
        </is>
      </c>
      <c r="E285" t="inlineStr">
        <is>
          <t>crédit-bail</t>
        </is>
      </c>
      <c r="F285" t="inlineStr">
        <is>
          <t>2025-04-12</t>
        </is>
      </c>
      <c r="G285" s="4" t="n">
        <v>100987.37</v>
      </c>
      <c r="H285" s="4">
        <f>MAX(0,G285-SUMIFS('Paiements contrat'!$B:$B,'Paiements contrat'!$A:$A,A285))</f>
        <v/>
      </c>
      <c r="I285" s="4" t="n">
        <v>80039.14999999999</v>
      </c>
      <c r="J285" t="inlineStr">
        <is>
          <t>actif</t>
        </is>
      </c>
    </row>
    <row r="286">
      <c r="A286" t="inlineStr">
        <is>
          <t>CTR-00288</t>
        </is>
      </c>
      <c r="B286" t="inlineStr">
        <is>
          <t>CLI-01131</t>
        </is>
      </c>
      <c r="C286" t="inlineStr">
        <is>
          <t>Île-de-France</t>
        </is>
      </c>
      <c r="D286" t="inlineStr">
        <is>
          <t>auto</t>
        </is>
      </c>
      <c r="E286" t="inlineStr">
        <is>
          <t>LOA</t>
        </is>
      </c>
      <c r="F286" t="inlineStr">
        <is>
          <t>2025-07-26</t>
        </is>
      </c>
      <c r="G286" s="4" t="n">
        <v>44981.59</v>
      </c>
      <c r="H286" s="4">
        <f>MAX(0,G286-SUMIFS('Paiements contrat'!$B:$B,'Paiements contrat'!$A:$A,A286))</f>
        <v/>
      </c>
      <c r="I286" s="4" t="n">
        <v>30251.32</v>
      </c>
      <c r="J286" t="inlineStr">
        <is>
          <t>actif</t>
        </is>
      </c>
    </row>
    <row r="287">
      <c r="A287" t="inlineStr">
        <is>
          <t>CTR-00289</t>
        </is>
      </c>
      <c r="B287" t="inlineStr">
        <is>
          <t>CLI-00332</t>
        </is>
      </c>
      <c r="C287" t="inlineStr">
        <is>
          <t>Guyane</t>
        </is>
      </c>
      <c r="D287" t="inlineStr">
        <is>
          <t>auto</t>
        </is>
      </c>
      <c r="E287" t="inlineStr">
        <is>
          <t>LOA</t>
        </is>
      </c>
      <c r="F287" t="inlineStr">
        <is>
          <t>2025-03-05</t>
        </is>
      </c>
      <c r="G287" s="4" t="n">
        <v>45277.55</v>
      </c>
      <c r="H287" s="4">
        <f>MAX(0,G287-SUMIFS('Paiements contrat'!$B:$B,'Paiements contrat'!$A:$A,A287))</f>
        <v/>
      </c>
      <c r="I287" s="4" t="n">
        <v>26859.27</v>
      </c>
      <c r="J287" t="inlineStr">
        <is>
          <t>actif</t>
        </is>
      </c>
    </row>
    <row r="288">
      <c r="A288" t="inlineStr">
        <is>
          <t>CTR-00290</t>
        </is>
      </c>
      <c r="B288" t="inlineStr">
        <is>
          <t>CLI-01376</t>
        </is>
      </c>
      <c r="C288" t="inlineStr">
        <is>
          <t>Île-de-France</t>
        </is>
      </c>
      <c r="D288" t="inlineStr">
        <is>
          <t>auto</t>
        </is>
      </c>
      <c r="E288" t="inlineStr">
        <is>
          <t>LOA</t>
        </is>
      </c>
      <c r="F288" t="inlineStr">
        <is>
          <t>2025-05-27</t>
        </is>
      </c>
      <c r="G288" s="4" t="n">
        <v>14249.76</v>
      </c>
      <c r="H288" s="4">
        <f>MAX(0,G288-SUMIFS('Paiements contrat'!$B:$B,'Paiements contrat'!$A:$A,A288))</f>
        <v/>
      </c>
      <c r="I288" s="4" t="n">
        <v>11291.83</v>
      </c>
      <c r="J288" t="inlineStr">
        <is>
          <t>actif</t>
        </is>
      </c>
    </row>
    <row r="289">
      <c r="A289" t="inlineStr">
        <is>
          <t>CTR-00291</t>
        </is>
      </c>
      <c r="B289" t="inlineStr">
        <is>
          <t>CLI-00462</t>
        </is>
      </c>
      <c r="C289" t="inlineStr">
        <is>
          <t>Île-de-France</t>
        </is>
      </c>
      <c r="D289" t="inlineStr">
        <is>
          <t>auto</t>
        </is>
      </c>
      <c r="E289" t="inlineStr">
        <is>
          <t>LOA</t>
        </is>
      </c>
      <c r="F289" t="inlineStr">
        <is>
          <t>2025-11-18</t>
        </is>
      </c>
      <c r="G289" s="4" t="n">
        <v>42537.68</v>
      </c>
      <c r="H289" s="4">
        <f>MAX(0,G289-SUMIFS('Paiements contrat'!$B:$B,'Paiements contrat'!$A:$A,A289))</f>
        <v/>
      </c>
      <c r="I289" s="4" t="n">
        <v>35855.48</v>
      </c>
      <c r="J289" t="inlineStr">
        <is>
          <t>actif</t>
        </is>
      </c>
    </row>
    <row r="290">
      <c r="A290" t="inlineStr">
        <is>
          <t>CTR-00292</t>
        </is>
      </c>
      <c r="B290" t="inlineStr">
        <is>
          <t>CLI-00936</t>
        </is>
      </c>
      <c r="C290" t="inlineStr">
        <is>
          <t>Martinique</t>
        </is>
      </c>
      <c r="D290" t="inlineStr">
        <is>
          <t>materiel</t>
        </is>
      </c>
      <c r="E290" t="inlineStr">
        <is>
          <t>crédit-bail</t>
        </is>
      </c>
      <c r="F290" t="inlineStr">
        <is>
          <t>2025-10-12</t>
        </is>
      </c>
      <c r="G290" s="4" t="n">
        <v>17353.13</v>
      </c>
      <c r="H290" s="4">
        <f>MAX(0,G290-SUMIFS('Paiements contrat'!$B:$B,'Paiements contrat'!$A:$A,A290))</f>
        <v/>
      </c>
      <c r="I290" s="4" t="n">
        <v>11636.33</v>
      </c>
      <c r="J290" t="inlineStr">
        <is>
          <t>actif</t>
        </is>
      </c>
    </row>
    <row r="291">
      <c r="A291" t="inlineStr">
        <is>
          <t>CTR-00293</t>
        </is>
      </c>
      <c r="B291" t="inlineStr">
        <is>
          <t>CLI-00838</t>
        </is>
      </c>
      <c r="C291" t="inlineStr">
        <is>
          <t>Île-de-France</t>
        </is>
      </c>
      <c r="D291" t="inlineStr">
        <is>
          <t>auto</t>
        </is>
      </c>
      <c r="E291" t="inlineStr">
        <is>
          <t>LLD</t>
        </is>
      </c>
      <c r="F291" t="inlineStr">
        <is>
          <t>2025-01-05</t>
        </is>
      </c>
      <c r="G291" s="4" t="n">
        <v>30519.37</v>
      </c>
      <c r="H291" s="4">
        <f>MAX(0,G291-SUMIFS('Paiements contrat'!$B:$B,'Paiements contrat'!$A:$A,A291))</f>
        <v/>
      </c>
      <c r="I291" s="4" t="n">
        <v>18969.33</v>
      </c>
      <c r="J291" t="inlineStr">
        <is>
          <t>actif</t>
        </is>
      </c>
    </row>
    <row r="292">
      <c r="A292" t="inlineStr">
        <is>
          <t>CTR-00294</t>
        </is>
      </c>
      <c r="B292" t="inlineStr">
        <is>
          <t>CLI-00537</t>
        </is>
      </c>
      <c r="C292" t="inlineStr">
        <is>
          <t>Réunion</t>
        </is>
      </c>
      <c r="D292" t="inlineStr">
        <is>
          <t>materiel</t>
        </is>
      </c>
      <c r="E292" t="inlineStr">
        <is>
          <t>crédit-bail</t>
        </is>
      </c>
      <c r="F292" t="inlineStr">
        <is>
          <t>2025-01-13</t>
        </is>
      </c>
      <c r="G292" s="4" t="n">
        <v>31786.86</v>
      </c>
      <c r="H292" s="4">
        <f>MAX(0,G292-SUMIFS('Paiements contrat'!$B:$B,'Paiements contrat'!$A:$A,A292))</f>
        <v/>
      </c>
      <c r="I292" s="4" t="n">
        <v>25444.35</v>
      </c>
      <c r="J292" t="inlineStr">
        <is>
          <t>actif</t>
        </is>
      </c>
    </row>
    <row r="293">
      <c r="A293" t="inlineStr">
        <is>
          <t>CTR-00295</t>
        </is>
      </c>
      <c r="B293" t="inlineStr">
        <is>
          <t>CLI-00766</t>
        </is>
      </c>
      <c r="C293" t="inlineStr">
        <is>
          <t>Île-de-France</t>
        </is>
      </c>
      <c r="D293" t="inlineStr">
        <is>
          <t>auto</t>
        </is>
      </c>
      <c r="E293" t="inlineStr">
        <is>
          <t>LLD</t>
        </is>
      </c>
      <c r="F293" t="inlineStr">
        <is>
          <t>2025-04-11</t>
        </is>
      </c>
      <c r="G293" s="4" t="n">
        <v>70631.64999999999</v>
      </c>
      <c r="H293" s="4">
        <f>MAX(0,G293-SUMIFS('Paiements contrat'!$B:$B,'Paiements contrat'!$A:$A,A293))</f>
        <v/>
      </c>
      <c r="I293" s="4" t="n">
        <v>50475.85999999999</v>
      </c>
      <c r="J293" t="inlineStr">
        <is>
          <t>actif</t>
        </is>
      </c>
    </row>
    <row r="294">
      <c r="A294" t="inlineStr">
        <is>
          <t>CTR-00296</t>
        </is>
      </c>
      <c r="B294" t="inlineStr">
        <is>
          <t>CLI-00793</t>
        </is>
      </c>
      <c r="C294" t="inlineStr">
        <is>
          <t>Île-de-France</t>
        </is>
      </c>
      <c r="D294" t="inlineStr">
        <is>
          <t>materiel</t>
        </is>
      </c>
      <c r="E294" t="inlineStr">
        <is>
          <t>crédit-bail</t>
        </is>
      </c>
      <c r="F294" t="inlineStr">
        <is>
          <t>2024-11-01</t>
        </is>
      </c>
      <c r="G294" s="4" t="n">
        <v>132187.66</v>
      </c>
      <c r="H294" s="4">
        <f>MAX(0,G294-SUMIFS('Paiements contrat'!$B:$B,'Paiements contrat'!$A:$A,A294))</f>
        <v/>
      </c>
      <c r="I294" s="4" t="n">
        <v>92050.89999999999</v>
      </c>
      <c r="J294" t="inlineStr">
        <is>
          <t>actif</t>
        </is>
      </c>
    </row>
    <row r="295">
      <c r="A295" t="inlineStr">
        <is>
          <t>CTR-00297</t>
        </is>
      </c>
      <c r="B295" t="inlineStr">
        <is>
          <t>CLI-00845</t>
        </is>
      </c>
      <c r="C295" t="inlineStr">
        <is>
          <t>Île-de-France</t>
        </is>
      </c>
      <c r="D295" t="inlineStr">
        <is>
          <t>auto</t>
        </is>
      </c>
      <c r="E295" t="inlineStr">
        <is>
          <t>LLD</t>
        </is>
      </c>
      <c r="F295" t="inlineStr">
        <is>
          <t>2026-01-08</t>
        </is>
      </c>
      <c r="G295" s="4" t="n">
        <v>59683.46</v>
      </c>
      <c r="H295" s="4">
        <f>MAX(0,G295-SUMIFS('Paiements contrat'!$B:$B,'Paiements contrat'!$A:$A,A295))</f>
        <v/>
      </c>
      <c r="I295" s="4" t="n">
        <v>57345.79</v>
      </c>
      <c r="J295" t="inlineStr">
        <is>
          <t>actif</t>
        </is>
      </c>
    </row>
    <row r="296">
      <c r="A296" t="inlineStr">
        <is>
          <t>CTR-00298</t>
        </is>
      </c>
      <c r="B296" t="inlineStr">
        <is>
          <t>CLI-00486</t>
        </is>
      </c>
      <c r="C296" t="inlineStr">
        <is>
          <t>Martinique</t>
        </is>
      </c>
      <c r="D296" t="inlineStr">
        <is>
          <t>auto</t>
        </is>
      </c>
      <c r="E296" t="inlineStr">
        <is>
          <t>LOA</t>
        </is>
      </c>
      <c r="F296" t="inlineStr">
        <is>
          <t>2025-10-12</t>
        </is>
      </c>
      <c r="G296" s="4" t="n">
        <v>56567.97</v>
      </c>
      <c r="H296" s="4">
        <f>MAX(0,G296-SUMIFS('Paiements contrat'!$B:$B,'Paiements contrat'!$A:$A,A296))</f>
        <v/>
      </c>
      <c r="I296" s="4" t="n">
        <v>52608.21</v>
      </c>
      <c r="J296" t="inlineStr">
        <is>
          <t>actif</t>
        </is>
      </c>
    </row>
    <row r="297">
      <c r="A297" t="inlineStr">
        <is>
          <t>CTR-00299</t>
        </is>
      </c>
      <c r="B297" t="inlineStr">
        <is>
          <t>CLI-00038</t>
        </is>
      </c>
      <c r="C297" t="inlineStr">
        <is>
          <t>Île-de-France</t>
        </is>
      </c>
      <c r="D297" t="inlineStr">
        <is>
          <t>auto</t>
        </is>
      </c>
      <c r="E297" t="inlineStr">
        <is>
          <t>LOA</t>
        </is>
      </c>
      <c r="F297" t="inlineStr">
        <is>
          <t>2024-05-12</t>
        </is>
      </c>
      <c r="G297" s="4" t="n">
        <v>70786.47</v>
      </c>
      <c r="H297" s="4">
        <f>MAX(0,G297-SUMIFS('Paiements contrat'!$B:$B,'Paiements contrat'!$A:$A,A297))</f>
        <v/>
      </c>
      <c r="I297" s="4" t="n">
        <v>29319.76</v>
      </c>
      <c r="J297" t="inlineStr">
        <is>
          <t>actif</t>
        </is>
      </c>
    </row>
    <row r="298">
      <c r="A298" t="inlineStr">
        <is>
          <t>CTR-00300</t>
        </is>
      </c>
      <c r="B298" t="inlineStr">
        <is>
          <t>CLI-00773</t>
        </is>
      </c>
      <c r="C298" t="inlineStr">
        <is>
          <t>Île-de-France</t>
        </is>
      </c>
      <c r="D298" t="inlineStr">
        <is>
          <t>auto</t>
        </is>
      </c>
      <c r="E298" t="inlineStr">
        <is>
          <t>LOA</t>
        </is>
      </c>
      <c r="F298" t="inlineStr">
        <is>
          <t>2025-04-02</t>
        </is>
      </c>
      <c r="G298" s="4" t="n">
        <v>29749.09</v>
      </c>
      <c r="H298" s="4">
        <f>MAX(0,G298-SUMIFS('Paiements contrat'!$B:$B,'Paiements contrat'!$A:$A,A298))</f>
        <v/>
      </c>
      <c r="I298" s="4" t="n">
        <v>21405.95</v>
      </c>
      <c r="J298" t="inlineStr">
        <is>
          <t>actif</t>
        </is>
      </c>
    </row>
    <row r="299">
      <c r="A299" t="inlineStr">
        <is>
          <t>CTR-00301</t>
        </is>
      </c>
      <c r="B299" t="inlineStr">
        <is>
          <t>CLI-00367</t>
        </is>
      </c>
      <c r="C299" t="inlineStr">
        <is>
          <t>Île-de-France</t>
        </is>
      </c>
      <c r="D299" t="inlineStr">
        <is>
          <t>materiel</t>
        </is>
      </c>
      <c r="E299" t="inlineStr">
        <is>
          <t>crédit-bail</t>
        </is>
      </c>
      <c r="F299" t="inlineStr">
        <is>
          <t>2025-03-03</t>
        </is>
      </c>
      <c r="G299" s="4" t="n">
        <v>25325.06</v>
      </c>
      <c r="H299" s="4">
        <f>MAX(0,G299-SUMIFS('Paiements contrat'!$B:$B,'Paiements contrat'!$A:$A,A299))</f>
        <v/>
      </c>
      <c r="I299" s="4" t="n">
        <v>19177.47</v>
      </c>
      <c r="J299" t="inlineStr">
        <is>
          <t>actif</t>
        </is>
      </c>
    </row>
    <row r="300">
      <c r="A300" t="inlineStr">
        <is>
          <t>CTR-00302</t>
        </is>
      </c>
      <c r="B300" t="inlineStr">
        <is>
          <t>CLI-00472</t>
        </is>
      </c>
      <c r="C300" t="inlineStr">
        <is>
          <t>Île-de-France</t>
        </is>
      </c>
      <c r="D300" t="inlineStr">
        <is>
          <t>materiel</t>
        </is>
      </c>
      <c r="E300" t="inlineStr">
        <is>
          <t>crédit-bail</t>
        </is>
      </c>
      <c r="F300" t="inlineStr">
        <is>
          <t>2024-12-26</t>
        </is>
      </c>
      <c r="G300" s="4" t="n">
        <v>200237.92</v>
      </c>
      <c r="H300" s="4">
        <f>MAX(0,G300-SUMIFS('Paiements contrat'!$B:$B,'Paiements contrat'!$A:$A,A300))</f>
        <v/>
      </c>
      <c r="I300" s="4" t="n">
        <v>86226.88</v>
      </c>
      <c r="J300" t="inlineStr">
        <is>
          <t>actif</t>
        </is>
      </c>
    </row>
    <row r="301">
      <c r="A301" t="inlineStr">
        <is>
          <t>CTR-00303</t>
        </is>
      </c>
      <c r="B301" t="inlineStr">
        <is>
          <t>CLI-00417</t>
        </is>
      </c>
      <c r="C301" t="inlineStr">
        <is>
          <t>Île-de-France</t>
        </is>
      </c>
      <c r="D301" t="inlineStr">
        <is>
          <t>auto</t>
        </is>
      </c>
      <c r="E301" t="inlineStr">
        <is>
          <t>LOA</t>
        </is>
      </c>
      <c r="F301" t="inlineStr">
        <is>
          <t>2024-10-23</t>
        </is>
      </c>
      <c r="G301" s="4" t="n">
        <v>58255.88</v>
      </c>
      <c r="H301" s="4">
        <f>MAX(0,G301-SUMIFS('Paiements contrat'!$B:$B,'Paiements contrat'!$A:$A,A301))</f>
        <v/>
      </c>
      <c r="I301" s="4" t="n">
        <v>17749.64999999999</v>
      </c>
      <c r="J301" t="inlineStr">
        <is>
          <t>actif</t>
        </is>
      </c>
    </row>
    <row r="302">
      <c r="A302" t="inlineStr">
        <is>
          <t>CTR-00304</t>
        </is>
      </c>
      <c r="B302" t="inlineStr">
        <is>
          <t>CLI-00525</t>
        </is>
      </c>
      <c r="C302" t="inlineStr">
        <is>
          <t>Île-de-France</t>
        </is>
      </c>
      <c r="D302" t="inlineStr">
        <is>
          <t>materiel</t>
        </is>
      </c>
      <c r="E302" t="inlineStr">
        <is>
          <t>crédit-bail</t>
        </is>
      </c>
      <c r="F302" t="inlineStr">
        <is>
          <t>2026-01-08</t>
        </is>
      </c>
      <c r="G302" s="4" t="n">
        <v>101250.67</v>
      </c>
      <c r="H302" s="4">
        <f>MAX(0,G302-SUMIFS('Paiements contrat'!$B:$B,'Paiements contrat'!$A:$A,A302))</f>
        <v/>
      </c>
      <c r="I302" s="4" t="n">
        <v>93107.81999999999</v>
      </c>
      <c r="J302" t="inlineStr">
        <is>
          <t>actif</t>
        </is>
      </c>
    </row>
    <row r="303">
      <c r="A303" t="inlineStr">
        <is>
          <t>CTR-00305</t>
        </is>
      </c>
      <c r="B303" t="inlineStr">
        <is>
          <t>CLI-01062</t>
        </is>
      </c>
      <c r="C303" t="inlineStr">
        <is>
          <t>Île-de-France</t>
        </is>
      </c>
      <c r="D303" t="inlineStr">
        <is>
          <t>materiel</t>
        </is>
      </c>
      <c r="E303" t="inlineStr">
        <is>
          <t>crédit-bail</t>
        </is>
      </c>
      <c r="F303" t="inlineStr">
        <is>
          <t>2025-10-17</t>
        </is>
      </c>
      <c r="G303" s="4" t="n">
        <v>100707.55</v>
      </c>
      <c r="H303" s="4">
        <f>MAX(0,G303-SUMIFS('Paiements contrat'!$B:$B,'Paiements contrat'!$A:$A,A303))</f>
        <v/>
      </c>
      <c r="I303" s="4" t="n">
        <v>94551.73000000001</v>
      </c>
      <c r="J303" t="inlineStr">
        <is>
          <t>actif</t>
        </is>
      </c>
    </row>
    <row r="304">
      <c r="A304" t="inlineStr">
        <is>
          <t>CTR-00306</t>
        </is>
      </c>
      <c r="B304" t="inlineStr">
        <is>
          <t>CLI-00953</t>
        </is>
      </c>
      <c r="C304" t="inlineStr">
        <is>
          <t>Guadeloupe</t>
        </is>
      </c>
      <c r="D304" t="inlineStr">
        <is>
          <t>bateau</t>
        </is>
      </c>
      <c r="E304" t="inlineStr">
        <is>
          <t>LOA</t>
        </is>
      </c>
      <c r="F304" t="inlineStr">
        <is>
          <t>2024-05-21</t>
        </is>
      </c>
      <c r="G304" s="4" t="n">
        <v>108121.53</v>
      </c>
      <c r="H304" s="4">
        <f>MAX(0,G304-SUMIFS('Paiements contrat'!$B:$B,'Paiements contrat'!$A:$A,A304))</f>
        <v/>
      </c>
      <c r="I304" s="4" t="n">
        <v>15687.94646208204</v>
      </c>
      <c r="J304" t="inlineStr">
        <is>
          <t>actif</t>
        </is>
      </c>
    </row>
    <row r="305">
      <c r="A305" t="inlineStr">
        <is>
          <t>CTR-00307</t>
        </is>
      </c>
      <c r="B305" t="inlineStr">
        <is>
          <t>CLI-00931</t>
        </is>
      </c>
      <c r="C305" t="inlineStr">
        <is>
          <t>Île-de-France</t>
        </is>
      </c>
      <c r="D305" t="inlineStr">
        <is>
          <t>bateau</t>
        </is>
      </c>
      <c r="E305" t="inlineStr">
        <is>
          <t>LOA</t>
        </is>
      </c>
      <c r="F305" t="inlineStr">
        <is>
          <t>2025-12-12</t>
        </is>
      </c>
      <c r="G305" s="4" t="n">
        <v>97083.33</v>
      </c>
      <c r="H305" s="4">
        <f>MAX(0,G305-SUMIFS('Paiements contrat'!$B:$B,'Paiements contrat'!$A:$A,A305))</f>
        <v/>
      </c>
      <c r="I305" s="4" t="n">
        <v>92986.7</v>
      </c>
      <c r="J305" t="inlineStr">
        <is>
          <t>actif</t>
        </is>
      </c>
    </row>
    <row r="306">
      <c r="A306" t="inlineStr">
        <is>
          <t>CTR-00308</t>
        </is>
      </c>
      <c r="B306" t="inlineStr">
        <is>
          <t>CLI-00317</t>
        </is>
      </c>
      <c r="C306" t="inlineStr">
        <is>
          <t>Île-de-France</t>
        </is>
      </c>
      <c r="D306" t="inlineStr">
        <is>
          <t>auto</t>
        </is>
      </c>
      <c r="E306" t="inlineStr">
        <is>
          <t>LLD</t>
        </is>
      </c>
      <c r="F306" t="inlineStr">
        <is>
          <t>2024-04-07</t>
        </is>
      </c>
      <c r="G306" s="4" t="n">
        <v>20944.19</v>
      </c>
      <c r="H306" s="4">
        <f>MAX(0,G306-SUMIFS('Paiements contrat'!$B:$B,'Paiements contrat'!$A:$A,A306))</f>
        <v/>
      </c>
      <c r="I306" s="4" t="n">
        <v>0</v>
      </c>
      <c r="J306" t="inlineStr">
        <is>
          <t>soldé</t>
        </is>
      </c>
    </row>
    <row r="307">
      <c r="A307" t="inlineStr">
        <is>
          <t>CTR-00309</t>
        </is>
      </c>
      <c r="B307" t="inlineStr">
        <is>
          <t>CLI-01191</t>
        </is>
      </c>
      <c r="C307" t="inlineStr">
        <is>
          <t>Martinique</t>
        </is>
      </c>
      <c r="D307" t="inlineStr">
        <is>
          <t>materiel</t>
        </is>
      </c>
      <c r="E307" t="inlineStr">
        <is>
          <t>crédit-bail</t>
        </is>
      </c>
      <c r="F307" t="inlineStr">
        <is>
          <t>2025-02-22</t>
        </is>
      </c>
      <c r="G307" s="4" t="n">
        <v>66629.17999999999</v>
      </c>
      <c r="H307" s="4">
        <f>MAX(0,G307-SUMIFS('Paiements contrat'!$B:$B,'Paiements contrat'!$A:$A,A307))</f>
        <v/>
      </c>
      <c r="I307" s="4" t="n">
        <v>41471.57999999999</v>
      </c>
      <c r="J307" t="inlineStr">
        <is>
          <t>actif</t>
        </is>
      </c>
    </row>
    <row r="308">
      <c r="A308" t="inlineStr">
        <is>
          <t>CTR-00310</t>
        </is>
      </c>
      <c r="B308" t="inlineStr">
        <is>
          <t>CLI-00104</t>
        </is>
      </c>
      <c r="C308" t="inlineStr">
        <is>
          <t>Île-de-France</t>
        </is>
      </c>
      <c r="D308" t="inlineStr">
        <is>
          <t>auto</t>
        </is>
      </c>
      <c r="E308" t="inlineStr">
        <is>
          <t>LLD</t>
        </is>
      </c>
      <c r="F308" t="inlineStr">
        <is>
          <t>2025-12-17</t>
        </is>
      </c>
      <c r="G308" s="4" t="n">
        <v>71755.27</v>
      </c>
      <c r="H308" s="4">
        <f>MAX(0,G308-SUMIFS('Paiements contrat'!$B:$B,'Paiements contrat'!$A:$A,A308))</f>
        <v/>
      </c>
      <c r="I308" s="4" t="n">
        <v>68569.13</v>
      </c>
      <c r="J308" t="inlineStr">
        <is>
          <t>actif</t>
        </is>
      </c>
    </row>
    <row r="309">
      <c r="A309" t="inlineStr">
        <is>
          <t>CTR-00311</t>
        </is>
      </c>
      <c r="B309" t="inlineStr">
        <is>
          <t>CLI-00618</t>
        </is>
      </c>
      <c r="C309" t="inlineStr">
        <is>
          <t>Île-de-France</t>
        </is>
      </c>
      <c r="D309" t="inlineStr">
        <is>
          <t>materiel</t>
        </is>
      </c>
      <c r="E309" t="inlineStr">
        <is>
          <t>crédit-bail</t>
        </is>
      </c>
      <c r="F309" t="inlineStr">
        <is>
          <t>2026-01-04</t>
        </is>
      </c>
      <c r="G309" s="4" t="n">
        <v>13847.1</v>
      </c>
      <c r="H309" s="4">
        <f>MAX(0,G309-SUMIFS('Paiements contrat'!$B:$B,'Paiements contrat'!$A:$A,A309))</f>
        <v/>
      </c>
      <c r="I309" s="4" t="n">
        <v>11615.91</v>
      </c>
      <c r="J309" t="inlineStr">
        <is>
          <t>actif</t>
        </is>
      </c>
    </row>
    <row r="310">
      <c r="A310" t="inlineStr">
        <is>
          <t>CTR-00313</t>
        </is>
      </c>
      <c r="B310" t="inlineStr">
        <is>
          <t>CLI-00092</t>
        </is>
      </c>
      <c r="C310" t="inlineStr">
        <is>
          <t>Martinique</t>
        </is>
      </c>
      <c r="D310" t="inlineStr">
        <is>
          <t>auto</t>
        </is>
      </c>
      <c r="E310" t="inlineStr">
        <is>
          <t>LOA</t>
        </is>
      </c>
      <c r="F310" t="inlineStr">
        <is>
          <t>2025-07-17</t>
        </is>
      </c>
      <c r="G310" s="4" t="n">
        <v>30787.17</v>
      </c>
      <c r="H310" s="4">
        <f>MAX(0,G310-SUMIFS('Paiements contrat'!$B:$B,'Paiements contrat'!$A:$A,A310))</f>
        <v/>
      </c>
      <c r="I310" s="4" t="n">
        <v>27464.87</v>
      </c>
      <c r="J310" t="inlineStr">
        <is>
          <t>actif</t>
        </is>
      </c>
    </row>
    <row r="311">
      <c r="A311" t="inlineStr">
        <is>
          <t>CTR-00314</t>
        </is>
      </c>
      <c r="B311" t="inlineStr">
        <is>
          <t>CLI-01401</t>
        </is>
      </c>
      <c r="C311" t="inlineStr">
        <is>
          <t>Île-de-France</t>
        </is>
      </c>
      <c r="D311" t="inlineStr">
        <is>
          <t>auto</t>
        </is>
      </c>
      <c r="E311" t="inlineStr">
        <is>
          <t>LLD</t>
        </is>
      </c>
      <c r="F311" t="inlineStr">
        <is>
          <t>2024-09-25</t>
        </is>
      </c>
      <c r="G311" s="4" t="n">
        <v>34961.2</v>
      </c>
      <c r="H311" s="4">
        <f>MAX(0,G311-SUMIFS('Paiements contrat'!$B:$B,'Paiements contrat'!$A:$A,A311))</f>
        <v/>
      </c>
      <c r="I311" s="4" t="n">
        <v>18455.05486758849</v>
      </c>
      <c r="J311" t="inlineStr">
        <is>
          <t>actif</t>
        </is>
      </c>
    </row>
    <row r="312">
      <c r="A312" t="inlineStr">
        <is>
          <t>CTR-00315</t>
        </is>
      </c>
      <c r="B312" t="inlineStr">
        <is>
          <t>CLI-00502</t>
        </is>
      </c>
      <c r="C312" t="inlineStr">
        <is>
          <t>Guadeloupe</t>
        </is>
      </c>
      <c r="D312" t="inlineStr">
        <is>
          <t>materiel</t>
        </is>
      </c>
      <c r="E312" t="inlineStr">
        <is>
          <t>crédit-bail</t>
        </is>
      </c>
      <c r="F312" t="inlineStr">
        <is>
          <t>2024-08-01</t>
        </is>
      </c>
      <c r="G312" s="4" t="n">
        <v>186580.17</v>
      </c>
      <c r="H312" s="4">
        <f>MAX(0,G312-SUMIFS('Paiements contrat'!$B:$B,'Paiements contrat'!$A:$A,A312))</f>
        <v/>
      </c>
      <c r="I312" s="4" t="n">
        <v>52996.60949007067</v>
      </c>
      <c r="J312" t="inlineStr">
        <is>
          <t>actif</t>
        </is>
      </c>
    </row>
    <row r="313">
      <c r="A313" t="inlineStr">
        <is>
          <t>CTR-00316</t>
        </is>
      </c>
      <c r="B313" t="inlineStr">
        <is>
          <t>CLI-00272</t>
        </is>
      </c>
      <c r="C313" t="inlineStr">
        <is>
          <t>Île-de-France</t>
        </is>
      </c>
      <c r="D313" t="inlineStr">
        <is>
          <t>materiel</t>
        </is>
      </c>
      <c r="E313" t="inlineStr">
        <is>
          <t>crédit-bail</t>
        </is>
      </c>
      <c r="F313" t="inlineStr">
        <is>
          <t>2024-08-09</t>
        </is>
      </c>
      <c r="G313" s="4" t="n">
        <v>45424.15</v>
      </c>
      <c r="H313" s="4">
        <f>MAX(0,G313-SUMIFS('Paiements contrat'!$B:$B,'Paiements contrat'!$A:$A,A313))</f>
        <v/>
      </c>
      <c r="I313" s="4" t="n">
        <v>2599.529999999999</v>
      </c>
      <c r="J313" t="inlineStr">
        <is>
          <t>soldé</t>
        </is>
      </c>
    </row>
    <row r="314">
      <c r="A314" t="inlineStr">
        <is>
          <t>CTR-00317</t>
        </is>
      </c>
      <c r="B314" t="inlineStr">
        <is>
          <t>CLI-01447</t>
        </is>
      </c>
      <c r="C314" t="inlineStr">
        <is>
          <t>Île-de-France</t>
        </is>
      </c>
      <c r="D314" t="inlineStr">
        <is>
          <t>materiel</t>
        </is>
      </c>
      <c r="E314" t="inlineStr">
        <is>
          <t>crédit-bail</t>
        </is>
      </c>
      <c r="F314" t="inlineStr">
        <is>
          <t>2024-10-21</t>
        </is>
      </c>
      <c r="G314" s="4" t="n">
        <v>75627.34</v>
      </c>
      <c r="H314" s="4">
        <f>MAX(0,G314-SUMIFS('Paiements contrat'!$B:$B,'Paiements contrat'!$A:$A,A314))</f>
        <v/>
      </c>
      <c r="I314" s="4" t="n">
        <v>8561.029999999999</v>
      </c>
      <c r="J314" t="inlineStr">
        <is>
          <t>actif</t>
        </is>
      </c>
    </row>
    <row r="315">
      <c r="A315" t="inlineStr">
        <is>
          <t>CTR-00318</t>
        </is>
      </c>
      <c r="B315" t="inlineStr">
        <is>
          <t>CLI-00721</t>
        </is>
      </c>
      <c r="C315" t="inlineStr">
        <is>
          <t>Guyane</t>
        </is>
      </c>
      <c r="D315" t="inlineStr">
        <is>
          <t>materiel</t>
        </is>
      </c>
      <c r="E315" t="inlineStr">
        <is>
          <t>crédit-bail</t>
        </is>
      </c>
      <c r="F315" t="inlineStr">
        <is>
          <t>2025-06-15</t>
        </is>
      </c>
      <c r="G315" s="4" t="n">
        <v>124829.82</v>
      </c>
      <c r="H315" s="4">
        <f>MAX(0,G315-SUMIFS('Paiements contrat'!$B:$B,'Paiements contrat'!$A:$A,A315))</f>
        <v/>
      </c>
      <c r="I315" s="4" t="n">
        <v>77384.69</v>
      </c>
      <c r="J315" t="inlineStr">
        <is>
          <t>actif</t>
        </is>
      </c>
    </row>
    <row r="316">
      <c r="A316" t="inlineStr">
        <is>
          <t>CTR-00319</t>
        </is>
      </c>
      <c r="B316" t="inlineStr">
        <is>
          <t>CLI-00184</t>
        </is>
      </c>
      <c r="C316" t="inlineStr">
        <is>
          <t>Martinique</t>
        </is>
      </c>
      <c r="D316" t="inlineStr">
        <is>
          <t>auto</t>
        </is>
      </c>
      <c r="E316" t="inlineStr">
        <is>
          <t>LLD</t>
        </is>
      </c>
      <c r="F316" t="inlineStr">
        <is>
          <t>2024-09-22</t>
        </is>
      </c>
      <c r="G316" s="4" t="n">
        <v>27343.18</v>
      </c>
      <c r="H316" s="4">
        <f>MAX(0,G316-SUMIFS('Paiements contrat'!$B:$B,'Paiements contrat'!$A:$A,A316))</f>
        <v/>
      </c>
      <c r="I316" s="4" t="n">
        <v>20230.48</v>
      </c>
      <c r="J316" t="inlineStr">
        <is>
          <t>actif</t>
        </is>
      </c>
    </row>
    <row r="317">
      <c r="A317" t="inlineStr">
        <is>
          <t>CTR-00321</t>
        </is>
      </c>
      <c r="B317" t="inlineStr">
        <is>
          <t>CLI-00194</t>
        </is>
      </c>
      <c r="C317" t="inlineStr">
        <is>
          <t>Guadeloupe</t>
        </is>
      </c>
      <c r="D317" t="inlineStr">
        <is>
          <t>materiel</t>
        </is>
      </c>
      <c r="E317" t="inlineStr">
        <is>
          <t>crédit-bail</t>
        </is>
      </c>
      <c r="F317" t="inlineStr">
        <is>
          <t>2025-12-22</t>
        </is>
      </c>
      <c r="G317" s="4" t="n">
        <v>76750.37</v>
      </c>
      <c r="H317" s="4">
        <f>MAX(0,G317-SUMIFS('Paiements contrat'!$B:$B,'Paiements contrat'!$A:$A,A317))</f>
        <v/>
      </c>
      <c r="I317" s="4" t="n">
        <v>64276.39999999999</v>
      </c>
      <c r="J317" t="inlineStr">
        <is>
          <t>actif</t>
        </is>
      </c>
    </row>
    <row r="318">
      <c r="A318" t="inlineStr">
        <is>
          <t>CTR-00322</t>
        </is>
      </c>
      <c r="B318" t="inlineStr">
        <is>
          <t>CLI-00475</t>
        </is>
      </c>
      <c r="C318" t="inlineStr">
        <is>
          <t>Île-de-France</t>
        </is>
      </c>
      <c r="D318" t="inlineStr">
        <is>
          <t>auto</t>
        </is>
      </c>
      <c r="E318" t="inlineStr">
        <is>
          <t>LLD</t>
        </is>
      </c>
      <c r="F318" t="inlineStr">
        <is>
          <t>2024-10-15</t>
        </is>
      </c>
      <c r="G318" s="4" t="n">
        <v>11986.49</v>
      </c>
      <c r="H318" s="4">
        <f>MAX(0,G318-SUMIFS('Paiements contrat'!$B:$B,'Paiements contrat'!$A:$A,A318))</f>
        <v/>
      </c>
      <c r="I318" s="4" t="n">
        <v>7013.661341869253</v>
      </c>
      <c r="J318" t="inlineStr">
        <is>
          <t>actif</t>
        </is>
      </c>
    </row>
    <row r="319">
      <c r="A319" t="inlineStr">
        <is>
          <t>CTR-00323</t>
        </is>
      </c>
      <c r="B319" t="inlineStr">
        <is>
          <t>CLI-00615</t>
        </is>
      </c>
      <c r="C319" t="inlineStr">
        <is>
          <t>Île-de-France</t>
        </is>
      </c>
      <c r="D319" t="inlineStr">
        <is>
          <t>auto</t>
        </is>
      </c>
      <c r="E319" t="inlineStr">
        <is>
          <t>LOA</t>
        </is>
      </c>
      <c r="F319" t="inlineStr">
        <is>
          <t>2025-05-01</t>
        </is>
      </c>
      <c r="G319" s="4" t="n">
        <v>66768.36</v>
      </c>
      <c r="H319" s="4">
        <f>MAX(0,G319-SUMIFS('Paiements contrat'!$B:$B,'Paiements contrat'!$A:$A,A319))</f>
        <v/>
      </c>
      <c r="I319" s="4" t="n">
        <v>45908.99000000001</v>
      </c>
      <c r="J319" t="inlineStr">
        <is>
          <t>actif</t>
        </is>
      </c>
    </row>
    <row r="320">
      <c r="A320" t="inlineStr">
        <is>
          <t>CTR-00324</t>
        </is>
      </c>
      <c r="B320" t="inlineStr">
        <is>
          <t>CLI-00189</t>
        </is>
      </c>
      <c r="C320" t="inlineStr">
        <is>
          <t>Île-de-France</t>
        </is>
      </c>
      <c r="D320" t="inlineStr">
        <is>
          <t>auto</t>
        </is>
      </c>
      <c r="E320" t="inlineStr">
        <is>
          <t>LLD</t>
        </is>
      </c>
      <c r="F320" t="inlineStr">
        <is>
          <t>2026-02-16</t>
        </is>
      </c>
      <c r="G320" s="4" t="n">
        <v>61574.28</v>
      </c>
      <c r="H320" s="4">
        <f>MAX(0,G320-SUMIFS('Paiements contrat'!$B:$B,'Paiements contrat'!$A:$A,A320))</f>
        <v/>
      </c>
      <c r="I320" s="4" t="n">
        <v>61574.28</v>
      </c>
      <c r="J320" t="inlineStr">
        <is>
          <t>actif</t>
        </is>
      </c>
    </row>
    <row r="321">
      <c r="A321" t="inlineStr">
        <is>
          <t>CTR-00325</t>
        </is>
      </c>
      <c r="B321" t="inlineStr">
        <is>
          <t>CLI-01183</t>
        </is>
      </c>
      <c r="C321" t="inlineStr">
        <is>
          <t>Île-de-France</t>
        </is>
      </c>
      <c r="D321" t="inlineStr">
        <is>
          <t>auto</t>
        </is>
      </c>
      <c r="E321" t="inlineStr">
        <is>
          <t>LOA</t>
        </is>
      </c>
      <c r="F321" t="inlineStr">
        <is>
          <t>2024-06-04</t>
        </is>
      </c>
      <c r="G321" s="4" t="n">
        <v>20040.97</v>
      </c>
      <c r="H321" s="4">
        <f>MAX(0,G321-SUMIFS('Paiements contrat'!$B:$B,'Paiements contrat'!$A:$A,A321))</f>
        <v/>
      </c>
      <c r="I321" s="4" t="n">
        <v>4050.989321908533</v>
      </c>
      <c r="J321" t="inlineStr">
        <is>
          <t>actif</t>
        </is>
      </c>
    </row>
    <row r="322">
      <c r="A322" t="inlineStr">
        <is>
          <t>CTR-00326</t>
        </is>
      </c>
      <c r="B322" t="inlineStr">
        <is>
          <t>CLI-00378</t>
        </is>
      </c>
      <c r="C322" t="inlineStr">
        <is>
          <t>Réunion</t>
        </is>
      </c>
      <c r="D322" t="inlineStr">
        <is>
          <t>auto</t>
        </is>
      </c>
      <c r="E322" t="inlineStr">
        <is>
          <t>LOA</t>
        </is>
      </c>
      <c r="F322" t="inlineStr">
        <is>
          <t>2025-11-10</t>
        </is>
      </c>
      <c r="G322" s="4" t="n">
        <v>9286.17</v>
      </c>
      <c r="H322" s="4">
        <f>MAX(0,G322-SUMIFS('Paiements contrat'!$B:$B,'Paiements contrat'!$A:$A,A322))</f>
        <v/>
      </c>
      <c r="I322" s="4" t="n">
        <v>9027.390955566174</v>
      </c>
      <c r="J322" t="inlineStr">
        <is>
          <t>actif</t>
        </is>
      </c>
    </row>
    <row r="323">
      <c r="A323" t="inlineStr">
        <is>
          <t>CTR-00327</t>
        </is>
      </c>
      <c r="B323" t="inlineStr">
        <is>
          <t>CLI-00258</t>
        </is>
      </c>
      <c r="C323" t="inlineStr">
        <is>
          <t>Île-de-France</t>
        </is>
      </c>
      <c r="D323" t="inlineStr">
        <is>
          <t>auto</t>
        </is>
      </c>
      <c r="E323" t="inlineStr">
        <is>
          <t>LLD</t>
        </is>
      </c>
      <c r="F323" t="inlineStr">
        <is>
          <t>2024-08-13</t>
        </is>
      </c>
      <c r="G323" s="4" t="n">
        <v>56795.5</v>
      </c>
      <c r="H323" s="4">
        <f>MAX(0,G323-SUMIFS('Paiements contrat'!$B:$B,'Paiements contrat'!$A:$A,A323))</f>
        <v/>
      </c>
      <c r="I323" s="4" t="n">
        <v>22277.57</v>
      </c>
      <c r="J323" t="inlineStr">
        <is>
          <t>actif</t>
        </is>
      </c>
    </row>
    <row r="324">
      <c r="A324" t="inlineStr">
        <is>
          <t>CTR-00328</t>
        </is>
      </c>
      <c r="B324" t="inlineStr">
        <is>
          <t>CLI-00499</t>
        </is>
      </c>
      <c r="C324" t="inlineStr">
        <is>
          <t>Île-de-France</t>
        </is>
      </c>
      <c r="D324" t="inlineStr">
        <is>
          <t>auto</t>
        </is>
      </c>
      <c r="E324" t="inlineStr">
        <is>
          <t>LLD</t>
        </is>
      </c>
      <c r="F324" t="inlineStr">
        <is>
          <t>2025-01-01</t>
        </is>
      </c>
      <c r="G324" s="4" t="n">
        <v>48516.71</v>
      </c>
      <c r="H324" s="4">
        <f>MAX(0,G324-SUMIFS('Paiements contrat'!$B:$B,'Paiements contrat'!$A:$A,A324))</f>
        <v/>
      </c>
      <c r="I324" s="4" t="n">
        <v>31797.09</v>
      </c>
      <c r="J324" t="inlineStr">
        <is>
          <t>actif</t>
        </is>
      </c>
    </row>
    <row r="325">
      <c r="A325" t="inlineStr">
        <is>
          <t>CTR-00329</t>
        </is>
      </c>
      <c r="B325" t="inlineStr">
        <is>
          <t>CLI-00644</t>
        </is>
      </c>
      <c r="C325" t="inlineStr">
        <is>
          <t>Île-de-France</t>
        </is>
      </c>
      <c r="D325" t="inlineStr">
        <is>
          <t>auto</t>
        </is>
      </c>
      <c r="E325" t="inlineStr">
        <is>
          <t>LOA</t>
        </is>
      </c>
      <c r="F325" t="inlineStr">
        <is>
          <t>2024-06-20</t>
        </is>
      </c>
      <c r="G325" s="4" t="n">
        <v>65810.02</v>
      </c>
      <c r="H325" s="4">
        <f>MAX(0,G325-SUMIFS('Paiements contrat'!$B:$B,'Paiements contrat'!$A:$A,A325))</f>
        <v/>
      </c>
      <c r="I325" s="4" t="n">
        <v>17064.6705076909</v>
      </c>
      <c r="J325" t="inlineStr">
        <is>
          <t>soldé</t>
        </is>
      </c>
    </row>
    <row r="326">
      <c r="A326" t="inlineStr">
        <is>
          <t>CTR-00330</t>
        </is>
      </c>
      <c r="B326" t="inlineStr">
        <is>
          <t>CLI-00288</t>
        </is>
      </c>
      <c r="C326" t="inlineStr">
        <is>
          <t>Martinique</t>
        </is>
      </c>
      <c r="D326" t="inlineStr">
        <is>
          <t>auto</t>
        </is>
      </c>
      <c r="E326" t="inlineStr">
        <is>
          <t>LOA</t>
        </is>
      </c>
      <c r="F326" t="inlineStr">
        <is>
          <t>2024-04-23</t>
        </is>
      </c>
      <c r="G326" s="4" t="n">
        <v>10561.4</v>
      </c>
      <c r="H326" s="4">
        <f>MAX(0,G326-SUMIFS('Paiements contrat'!$B:$B,'Paiements contrat'!$A:$A,A326))</f>
        <v/>
      </c>
      <c r="I326" s="4" t="n">
        <v>4058.179999999999</v>
      </c>
      <c r="J326" t="inlineStr">
        <is>
          <t>contentieux</t>
        </is>
      </c>
    </row>
    <row r="327">
      <c r="A327" t="inlineStr">
        <is>
          <t>CTR-00331</t>
        </is>
      </c>
      <c r="B327" t="inlineStr">
        <is>
          <t>CLI-01339</t>
        </is>
      </c>
      <c r="C327" t="inlineStr">
        <is>
          <t>Île-de-France</t>
        </is>
      </c>
      <c r="D327" t="inlineStr">
        <is>
          <t>auto</t>
        </is>
      </c>
      <c r="E327" t="inlineStr">
        <is>
          <t>LOA</t>
        </is>
      </c>
      <c r="F327" t="inlineStr">
        <is>
          <t>2025-05-15</t>
        </is>
      </c>
      <c r="G327" s="4" t="n">
        <v>10721</v>
      </c>
      <c r="H327" s="4">
        <f>MAX(0,G327-SUMIFS('Paiements contrat'!$B:$B,'Paiements contrat'!$A:$A,A327))</f>
        <v/>
      </c>
      <c r="I327" s="4" t="n">
        <v>8208.4</v>
      </c>
      <c r="J327" t="inlineStr">
        <is>
          <t>actif</t>
        </is>
      </c>
    </row>
    <row r="328">
      <c r="A328" t="inlineStr">
        <is>
          <t>CTR-00332</t>
        </is>
      </c>
      <c r="B328" t="inlineStr">
        <is>
          <t>CLI-00045</t>
        </is>
      </c>
      <c r="C328" t="inlineStr">
        <is>
          <t>Île-de-France</t>
        </is>
      </c>
      <c r="D328" t="inlineStr">
        <is>
          <t>materiel</t>
        </is>
      </c>
      <c r="E328" t="inlineStr">
        <is>
          <t>crédit-bail</t>
        </is>
      </c>
      <c r="F328" t="inlineStr">
        <is>
          <t>2025-09-10</t>
        </is>
      </c>
      <c r="G328" s="4" t="n">
        <v>190332.33</v>
      </c>
      <c r="H328" s="4">
        <f>MAX(0,G328-SUMIFS('Paiements contrat'!$B:$B,'Paiements contrat'!$A:$A,A328))</f>
        <v/>
      </c>
      <c r="I328" s="4" t="n">
        <v>171618.54</v>
      </c>
      <c r="J328" t="inlineStr">
        <is>
          <t>actif</t>
        </is>
      </c>
    </row>
    <row r="329">
      <c r="A329" t="inlineStr">
        <is>
          <t>CTR-00333</t>
        </is>
      </c>
      <c r="B329" t="inlineStr">
        <is>
          <t>CLI-00537</t>
        </is>
      </c>
      <c r="C329" t="inlineStr">
        <is>
          <t>Réunion</t>
        </is>
      </c>
      <c r="D329" t="inlineStr">
        <is>
          <t>auto</t>
        </is>
      </c>
      <c r="E329" t="inlineStr">
        <is>
          <t>LOA</t>
        </is>
      </c>
      <c r="F329" t="inlineStr">
        <is>
          <t>2026-03-21</t>
        </is>
      </c>
      <c r="G329" s="4" t="n">
        <v>21027.5</v>
      </c>
      <c r="H329" s="4">
        <f>MAX(0,G329-SUMIFS('Paiements contrat'!$B:$B,'Paiements contrat'!$A:$A,A329))</f>
        <v/>
      </c>
      <c r="I329" s="4" t="n">
        <v>21027.5</v>
      </c>
      <c r="J329" t="inlineStr">
        <is>
          <t>actif</t>
        </is>
      </c>
    </row>
    <row r="330">
      <c r="A330" t="inlineStr">
        <is>
          <t>CTR-00334</t>
        </is>
      </c>
      <c r="B330" t="inlineStr">
        <is>
          <t>CLI-00055</t>
        </is>
      </c>
      <c r="C330" t="inlineStr">
        <is>
          <t>Île-de-France</t>
        </is>
      </c>
      <c r="D330" t="inlineStr">
        <is>
          <t>auto</t>
        </is>
      </c>
      <c r="E330" t="inlineStr">
        <is>
          <t>LOA</t>
        </is>
      </c>
      <c r="F330" t="inlineStr">
        <is>
          <t>2025-06-11</t>
        </is>
      </c>
      <c r="G330" s="4" t="n">
        <v>35661.12</v>
      </c>
      <c r="H330" s="4">
        <f>MAX(0,G330-SUMIFS('Paiements contrat'!$B:$B,'Paiements contrat'!$A:$A,A330))</f>
        <v/>
      </c>
      <c r="I330" s="4" t="n">
        <v>22938.14</v>
      </c>
      <c r="J330" t="inlineStr">
        <is>
          <t>actif</t>
        </is>
      </c>
    </row>
    <row r="331">
      <c r="A331" t="inlineStr">
        <is>
          <t>CTR-00335</t>
        </is>
      </c>
      <c r="B331" t="inlineStr">
        <is>
          <t>CLI-01362</t>
        </is>
      </c>
      <c r="C331" t="inlineStr">
        <is>
          <t>Guadeloupe</t>
        </is>
      </c>
      <c r="D331" t="inlineStr">
        <is>
          <t>auto</t>
        </is>
      </c>
      <c r="E331" t="inlineStr">
        <is>
          <t>LOA</t>
        </is>
      </c>
      <c r="F331" t="inlineStr">
        <is>
          <t>2026-03-20</t>
        </is>
      </c>
      <c r="G331" s="4" t="n">
        <v>55782.12</v>
      </c>
      <c r="H331" s="4">
        <f>MAX(0,G331-SUMIFS('Paiements contrat'!$B:$B,'Paiements contrat'!$A:$A,A331))</f>
        <v/>
      </c>
      <c r="I331" s="4" t="n">
        <v>55782.12</v>
      </c>
      <c r="J331" t="inlineStr">
        <is>
          <t>actif</t>
        </is>
      </c>
    </row>
    <row r="332">
      <c r="A332" t="inlineStr">
        <is>
          <t>CTR-00336</t>
        </is>
      </c>
      <c r="B332" t="inlineStr">
        <is>
          <t>CLI-01388</t>
        </is>
      </c>
      <c r="C332" t="inlineStr">
        <is>
          <t>Île-de-France</t>
        </is>
      </c>
      <c r="D332" t="inlineStr">
        <is>
          <t>bateau</t>
        </is>
      </c>
      <c r="E332" t="inlineStr">
        <is>
          <t>LOA</t>
        </is>
      </c>
      <c r="F332" t="inlineStr">
        <is>
          <t>2026-01-16</t>
        </is>
      </c>
      <c r="G332" s="4" t="n">
        <v>39675.59</v>
      </c>
      <c r="H332" s="4">
        <f>MAX(0,G332-SUMIFS('Paiements contrat'!$B:$B,'Paiements contrat'!$A:$A,A332))</f>
        <v/>
      </c>
      <c r="I332" s="4" t="n">
        <v>38576.89</v>
      </c>
      <c r="J332" t="inlineStr">
        <is>
          <t>actif</t>
        </is>
      </c>
    </row>
    <row r="333">
      <c r="A333" t="inlineStr">
        <is>
          <t>CTR-00337</t>
        </is>
      </c>
      <c r="B333" t="inlineStr">
        <is>
          <t>CLI-00754</t>
        </is>
      </c>
      <c r="C333" t="inlineStr">
        <is>
          <t>Île-de-France</t>
        </is>
      </c>
      <c r="D333" t="inlineStr">
        <is>
          <t>auto</t>
        </is>
      </c>
      <c r="E333" t="inlineStr">
        <is>
          <t>LLD</t>
        </is>
      </c>
      <c r="F333" t="inlineStr">
        <is>
          <t>2026-02-26</t>
        </is>
      </c>
      <c r="G333" s="4" t="n">
        <v>26262.47</v>
      </c>
      <c r="H333" s="4">
        <f>MAX(0,G333-SUMIFS('Paiements contrat'!$B:$B,'Paiements contrat'!$A:$A,A333))</f>
        <v/>
      </c>
      <c r="I333" s="4" t="n">
        <v>25603.42</v>
      </c>
      <c r="J333" t="inlineStr">
        <is>
          <t>actif</t>
        </is>
      </c>
    </row>
    <row r="334">
      <c r="A334" t="inlineStr">
        <is>
          <t>CTR-00338</t>
        </is>
      </c>
      <c r="B334" t="inlineStr">
        <is>
          <t>CLI-00658</t>
        </is>
      </c>
      <c r="C334" t="inlineStr">
        <is>
          <t>Île-de-France</t>
        </is>
      </c>
      <c r="D334" t="inlineStr">
        <is>
          <t>bateau</t>
        </is>
      </c>
      <c r="E334" t="inlineStr">
        <is>
          <t>LOA</t>
        </is>
      </c>
      <c r="F334" t="inlineStr">
        <is>
          <t>2024-05-25</t>
        </is>
      </c>
      <c r="G334" s="4" t="n">
        <v>261710.43</v>
      </c>
      <c r="H334" s="4">
        <f>MAX(0,G334-SUMIFS('Paiements contrat'!$B:$B,'Paiements contrat'!$A:$A,A334))</f>
        <v/>
      </c>
      <c r="I334" s="4" t="n">
        <v>150044.46</v>
      </c>
      <c r="J334" t="inlineStr">
        <is>
          <t>actif</t>
        </is>
      </c>
    </row>
    <row r="335">
      <c r="A335" t="inlineStr">
        <is>
          <t>CTR-00339</t>
        </is>
      </c>
      <c r="B335" t="inlineStr">
        <is>
          <t>CLI-01160</t>
        </is>
      </c>
      <c r="C335" t="inlineStr">
        <is>
          <t>Réunion</t>
        </is>
      </c>
      <c r="D335" t="inlineStr">
        <is>
          <t>materiel</t>
        </is>
      </c>
      <c r="E335" t="inlineStr">
        <is>
          <t>crédit-bail</t>
        </is>
      </c>
      <c r="F335" t="inlineStr">
        <is>
          <t>2025-10-09</t>
        </is>
      </c>
      <c r="G335" s="4" t="n">
        <v>131861.01</v>
      </c>
      <c r="H335" s="4">
        <f>MAX(0,G335-SUMIFS('Paiements contrat'!$B:$B,'Paiements contrat'!$A:$A,A335))</f>
        <v/>
      </c>
      <c r="I335" s="4" t="n">
        <v>123593.97</v>
      </c>
      <c r="J335" t="inlineStr">
        <is>
          <t>actif</t>
        </is>
      </c>
    </row>
    <row r="336">
      <c r="A336" t="inlineStr">
        <is>
          <t>CTR-00340</t>
        </is>
      </c>
      <c r="B336" t="inlineStr">
        <is>
          <t>CLI-00493</t>
        </is>
      </c>
      <c r="C336" t="inlineStr">
        <is>
          <t>Réunion</t>
        </is>
      </c>
      <c r="D336" t="inlineStr">
        <is>
          <t>auto</t>
        </is>
      </c>
      <c r="E336" t="inlineStr">
        <is>
          <t>LLD</t>
        </is>
      </c>
      <c r="F336" t="inlineStr">
        <is>
          <t>2025-06-24</t>
        </is>
      </c>
      <c r="G336" s="4" t="n">
        <v>26954.3</v>
      </c>
      <c r="H336" s="4">
        <f>MAX(0,G336-SUMIFS('Paiements contrat'!$B:$B,'Paiements contrat'!$A:$A,A336))</f>
        <v/>
      </c>
      <c r="I336" s="4" t="n">
        <v>21387.92</v>
      </c>
      <c r="J336" t="inlineStr">
        <is>
          <t>actif</t>
        </is>
      </c>
    </row>
    <row r="337">
      <c r="A337" t="inlineStr">
        <is>
          <t>CTR-00341</t>
        </is>
      </c>
      <c r="B337" t="inlineStr">
        <is>
          <t>CLI-00468</t>
        </is>
      </c>
      <c r="C337" t="inlineStr">
        <is>
          <t>Guadeloupe</t>
        </is>
      </c>
      <c r="D337" t="inlineStr">
        <is>
          <t>materiel</t>
        </is>
      </c>
      <c r="E337" t="inlineStr">
        <is>
          <t>crédit-bail</t>
        </is>
      </c>
      <c r="F337" t="inlineStr">
        <is>
          <t>2025-02-11</t>
        </is>
      </c>
      <c r="G337" s="4" t="n">
        <v>186095.46</v>
      </c>
      <c r="H337" s="4">
        <f>MAX(0,G337-SUMIFS('Paiements contrat'!$B:$B,'Paiements contrat'!$A:$A,A337))</f>
        <v/>
      </c>
      <c r="I337" s="4" t="n">
        <v>126174.35</v>
      </c>
      <c r="J337" t="inlineStr">
        <is>
          <t>actif</t>
        </is>
      </c>
    </row>
    <row r="338">
      <c r="A338" t="inlineStr">
        <is>
          <t>CTR-00342</t>
        </is>
      </c>
      <c r="B338" t="inlineStr">
        <is>
          <t>CLI-00155</t>
        </is>
      </c>
      <c r="C338" t="inlineStr">
        <is>
          <t>Île-de-France</t>
        </is>
      </c>
      <c r="D338" t="inlineStr">
        <is>
          <t>auto</t>
        </is>
      </c>
      <c r="E338" t="inlineStr">
        <is>
          <t>LOA</t>
        </is>
      </c>
      <c r="F338" t="inlineStr">
        <is>
          <t>2024-04-02</t>
        </is>
      </c>
      <c r="G338" s="4" t="n">
        <v>36045.46</v>
      </c>
      <c r="H338" s="4">
        <f>MAX(0,G338-SUMIFS('Paiements contrat'!$B:$B,'Paiements contrat'!$A:$A,A338))</f>
        <v/>
      </c>
      <c r="I338" s="4" t="n">
        <v>21760.30043976926</v>
      </c>
      <c r="J338" t="inlineStr">
        <is>
          <t>actif</t>
        </is>
      </c>
    </row>
    <row r="339">
      <c r="A339" t="inlineStr">
        <is>
          <t>CTR-00343</t>
        </is>
      </c>
      <c r="B339" t="inlineStr">
        <is>
          <t>CLI-00831</t>
        </is>
      </c>
      <c r="C339" t="inlineStr">
        <is>
          <t>Île-de-France</t>
        </is>
      </c>
      <c r="D339" t="inlineStr">
        <is>
          <t>materiel</t>
        </is>
      </c>
      <c r="E339" t="inlineStr">
        <is>
          <t>crédit-bail</t>
        </is>
      </c>
      <c r="F339" t="inlineStr">
        <is>
          <t>2024-07-11</t>
        </is>
      </c>
      <c r="G339" s="4" t="n">
        <v>151925.42</v>
      </c>
      <c r="H339" s="4">
        <f>MAX(0,G339-SUMIFS('Paiements contrat'!$B:$B,'Paiements contrat'!$A:$A,A339))</f>
        <v/>
      </c>
      <c r="I339" s="4" t="n">
        <v>61787.27000000002</v>
      </c>
      <c r="J339" t="inlineStr">
        <is>
          <t>actif</t>
        </is>
      </c>
    </row>
    <row r="340">
      <c r="A340" t="inlineStr">
        <is>
          <t>CTR-00344</t>
        </is>
      </c>
      <c r="B340" t="inlineStr">
        <is>
          <t>CLI-00608</t>
        </is>
      </c>
      <c r="C340" t="inlineStr">
        <is>
          <t>Île-de-France</t>
        </is>
      </c>
      <c r="D340" t="inlineStr">
        <is>
          <t>auto</t>
        </is>
      </c>
      <c r="E340" t="inlineStr">
        <is>
          <t>LOA</t>
        </is>
      </c>
      <c r="F340" t="inlineStr">
        <is>
          <t>2025-01-25</t>
        </is>
      </c>
      <c r="G340" s="4" t="n">
        <v>72463.52</v>
      </c>
      <c r="H340" s="4">
        <f>MAX(0,G340-SUMIFS('Paiements contrat'!$B:$B,'Paiements contrat'!$A:$A,A340))</f>
        <v/>
      </c>
      <c r="I340" s="4" t="n">
        <v>56305.04000000001</v>
      </c>
      <c r="J340" t="inlineStr">
        <is>
          <t>actif</t>
        </is>
      </c>
    </row>
    <row r="341">
      <c r="A341" t="inlineStr">
        <is>
          <t>CTR-00345</t>
        </is>
      </c>
      <c r="B341" t="inlineStr">
        <is>
          <t>CLI-00426</t>
        </is>
      </c>
      <c r="C341" t="inlineStr">
        <is>
          <t>Île-de-France</t>
        </is>
      </c>
      <c r="D341" t="inlineStr">
        <is>
          <t>auto</t>
        </is>
      </c>
      <c r="E341" t="inlineStr">
        <is>
          <t>LOA</t>
        </is>
      </c>
      <c r="F341" t="inlineStr">
        <is>
          <t>2026-02-25</t>
        </is>
      </c>
      <c r="G341" s="4" t="n">
        <v>19205.18</v>
      </c>
      <c r="H341" s="4">
        <f>MAX(0,G341-SUMIFS('Paiements contrat'!$B:$B,'Paiements contrat'!$A:$A,A341))</f>
        <v/>
      </c>
      <c r="I341" s="4" t="n">
        <v>18726.62</v>
      </c>
      <c r="J341" t="inlineStr">
        <is>
          <t>actif</t>
        </is>
      </c>
    </row>
    <row r="342">
      <c r="A342" t="inlineStr">
        <is>
          <t>CTR-00346</t>
        </is>
      </c>
      <c r="B342" t="inlineStr">
        <is>
          <t>CLI-01051</t>
        </is>
      </c>
      <c r="C342" t="inlineStr">
        <is>
          <t>Île-de-France</t>
        </is>
      </c>
      <c r="D342" t="inlineStr">
        <is>
          <t>materiel</t>
        </is>
      </c>
      <c r="E342" t="inlineStr">
        <is>
          <t>crédit-bail</t>
        </is>
      </c>
      <c r="F342" t="inlineStr">
        <is>
          <t>2026-02-10</t>
        </is>
      </c>
      <c r="G342" s="4" t="n">
        <v>201217.33</v>
      </c>
      <c r="H342" s="4">
        <f>MAX(0,G342-SUMIFS('Paiements contrat'!$B:$B,'Paiements contrat'!$A:$A,A342))</f>
        <v/>
      </c>
      <c r="I342" s="4" t="n">
        <v>198343.84</v>
      </c>
      <c r="J342" t="inlineStr">
        <is>
          <t>actif</t>
        </is>
      </c>
    </row>
    <row r="343">
      <c r="A343" t="inlineStr">
        <is>
          <t>CTR-00347</t>
        </is>
      </c>
      <c r="B343" t="inlineStr">
        <is>
          <t>CLI-01060</t>
        </is>
      </c>
      <c r="C343" t="inlineStr">
        <is>
          <t>Île-de-France</t>
        </is>
      </c>
      <c r="D343" t="inlineStr">
        <is>
          <t>auto</t>
        </is>
      </c>
      <c r="E343" t="inlineStr">
        <is>
          <t>LOA</t>
        </is>
      </c>
      <c r="F343" t="inlineStr">
        <is>
          <t>2025-02-11</t>
        </is>
      </c>
      <c r="G343" s="4" t="n">
        <v>26244.65</v>
      </c>
      <c r="H343" s="4">
        <f>MAX(0,G343-SUMIFS('Paiements contrat'!$B:$B,'Paiements contrat'!$A:$A,A343))</f>
        <v/>
      </c>
      <c r="I343" s="4" t="n">
        <v>13319.92</v>
      </c>
      <c r="J343" t="inlineStr">
        <is>
          <t>actif</t>
        </is>
      </c>
    </row>
    <row r="344">
      <c r="A344" t="inlineStr">
        <is>
          <t>CTR-00348</t>
        </is>
      </c>
      <c r="B344" t="inlineStr">
        <is>
          <t>CLI-00476</t>
        </is>
      </c>
      <c r="C344" t="inlineStr">
        <is>
          <t>Île-de-France</t>
        </is>
      </c>
      <c r="D344" t="inlineStr">
        <is>
          <t>auto</t>
        </is>
      </c>
      <c r="E344" t="inlineStr">
        <is>
          <t>LOA</t>
        </is>
      </c>
      <c r="F344" t="inlineStr">
        <is>
          <t>2024-10-05</t>
        </is>
      </c>
      <c r="G344" s="4" t="n">
        <v>60872.95</v>
      </c>
      <c r="H344" s="4">
        <f>MAX(0,G344-SUMIFS('Paiements contrat'!$B:$B,'Paiements contrat'!$A:$A,A344))</f>
        <v/>
      </c>
      <c r="I344" s="4" t="n">
        <v>10438.74</v>
      </c>
      <c r="J344" t="inlineStr">
        <is>
          <t>soldé</t>
        </is>
      </c>
    </row>
    <row r="345">
      <c r="A345" t="inlineStr">
        <is>
          <t>CTR-00349</t>
        </is>
      </c>
      <c r="B345" t="inlineStr">
        <is>
          <t>CLI-00561</t>
        </is>
      </c>
      <c r="C345" t="inlineStr">
        <is>
          <t>Île-de-France</t>
        </is>
      </c>
      <c r="D345" t="inlineStr">
        <is>
          <t>materiel</t>
        </is>
      </c>
      <c r="E345" t="inlineStr">
        <is>
          <t>crédit-bail</t>
        </is>
      </c>
      <c r="F345" t="inlineStr">
        <is>
          <t>2025-08-18</t>
        </is>
      </c>
      <c r="G345" s="4" t="n">
        <v>161156.75</v>
      </c>
      <c r="H345" s="4">
        <f>MAX(0,G345-SUMIFS('Paiements contrat'!$B:$B,'Paiements contrat'!$A:$A,A345))</f>
        <v/>
      </c>
      <c r="I345" s="4" t="n">
        <v>108286.7</v>
      </c>
      <c r="J345" t="inlineStr">
        <is>
          <t>actif</t>
        </is>
      </c>
    </row>
    <row r="346">
      <c r="A346" t="inlineStr">
        <is>
          <t>CTR-00350</t>
        </is>
      </c>
      <c r="B346" t="inlineStr">
        <is>
          <t>CLI-01243</t>
        </is>
      </c>
      <c r="C346" t="inlineStr">
        <is>
          <t>Île-de-France</t>
        </is>
      </c>
      <c r="D346" t="inlineStr">
        <is>
          <t>materiel</t>
        </is>
      </c>
      <c r="E346" t="inlineStr">
        <is>
          <t>crédit-bail</t>
        </is>
      </c>
      <c r="F346" t="inlineStr">
        <is>
          <t>2024-08-01</t>
        </is>
      </c>
      <c r="G346" s="4" t="n">
        <v>57168.83</v>
      </c>
      <c r="H346" s="4">
        <f>MAX(0,G346-SUMIFS('Paiements contrat'!$B:$B,'Paiements contrat'!$A:$A,A346))</f>
        <v/>
      </c>
      <c r="I346" s="4" t="n">
        <v>41876.96</v>
      </c>
      <c r="J346" t="inlineStr">
        <is>
          <t>actif</t>
        </is>
      </c>
    </row>
    <row r="347">
      <c r="A347" t="inlineStr">
        <is>
          <t>CTR-00351</t>
        </is>
      </c>
      <c r="B347" t="inlineStr">
        <is>
          <t>CLI-00747</t>
        </is>
      </c>
      <c r="C347" t="inlineStr">
        <is>
          <t>Martinique</t>
        </is>
      </c>
      <c r="D347" t="inlineStr">
        <is>
          <t>auto</t>
        </is>
      </c>
      <c r="E347" t="inlineStr">
        <is>
          <t>LOA</t>
        </is>
      </c>
      <c r="F347" t="inlineStr">
        <is>
          <t>2024-06-11</t>
        </is>
      </c>
      <c r="G347" s="4" t="n">
        <v>22244.6</v>
      </c>
      <c r="H347" s="4">
        <f>MAX(0,G347-SUMIFS('Paiements contrat'!$B:$B,'Paiements contrat'!$A:$A,A347))</f>
        <v/>
      </c>
      <c r="I347" s="4" t="n">
        <v>10698.73364721249</v>
      </c>
      <c r="J347" t="inlineStr">
        <is>
          <t>actif</t>
        </is>
      </c>
    </row>
    <row r="348">
      <c r="A348" t="inlineStr">
        <is>
          <t>CTR-00352</t>
        </is>
      </c>
      <c r="B348" t="inlineStr">
        <is>
          <t>CLI-00035</t>
        </is>
      </c>
      <c r="C348" t="inlineStr">
        <is>
          <t>Île-de-France</t>
        </is>
      </c>
      <c r="D348" t="inlineStr">
        <is>
          <t>materiel</t>
        </is>
      </c>
      <c r="E348" t="inlineStr">
        <is>
          <t>crédit-bail</t>
        </is>
      </c>
      <c r="F348" t="inlineStr">
        <is>
          <t>2025-04-05</t>
        </is>
      </c>
      <c r="G348" s="4" t="n">
        <v>107745.92</v>
      </c>
      <c r="H348" s="4">
        <f>MAX(0,G348-SUMIFS('Paiements contrat'!$B:$B,'Paiements contrat'!$A:$A,A348))</f>
        <v/>
      </c>
      <c r="I348" s="4" t="n">
        <v>9268.039999999994</v>
      </c>
      <c r="J348" t="inlineStr">
        <is>
          <t>actif</t>
        </is>
      </c>
    </row>
    <row r="349">
      <c r="A349" t="inlineStr">
        <is>
          <t>CTR-00353</t>
        </is>
      </c>
      <c r="B349" t="inlineStr">
        <is>
          <t>CLI-00767</t>
        </is>
      </c>
      <c r="C349" t="inlineStr">
        <is>
          <t>Martinique</t>
        </is>
      </c>
      <c r="D349" t="inlineStr">
        <is>
          <t>auto</t>
        </is>
      </c>
      <c r="E349" t="inlineStr">
        <is>
          <t>LLD</t>
        </is>
      </c>
      <c r="F349" t="inlineStr">
        <is>
          <t>2024-11-21</t>
        </is>
      </c>
      <c r="G349" s="4" t="n">
        <v>58105.6</v>
      </c>
      <c r="H349" s="4">
        <f>MAX(0,G349-SUMIFS('Paiements contrat'!$B:$B,'Paiements contrat'!$A:$A,A349))</f>
        <v/>
      </c>
      <c r="I349" s="4" t="n">
        <v>35617.26761698205</v>
      </c>
      <c r="J349" t="inlineStr">
        <is>
          <t>actif</t>
        </is>
      </c>
    </row>
    <row r="350">
      <c r="A350" t="inlineStr">
        <is>
          <t>CTR-00354</t>
        </is>
      </c>
      <c r="B350" t="inlineStr">
        <is>
          <t>CLI-00236</t>
        </is>
      </c>
      <c r="C350" t="inlineStr">
        <is>
          <t>Île-de-France</t>
        </is>
      </c>
      <c r="D350" t="inlineStr">
        <is>
          <t>auto</t>
        </is>
      </c>
      <c r="E350" t="inlineStr">
        <is>
          <t>LLD</t>
        </is>
      </c>
      <c r="F350" t="inlineStr">
        <is>
          <t>2026-01-24</t>
        </is>
      </c>
      <c r="G350" s="4" t="n">
        <v>14076.42</v>
      </c>
      <c r="H350" s="4">
        <f>MAX(0,G350-SUMIFS('Paiements contrat'!$B:$B,'Paiements contrat'!$A:$A,A350))</f>
        <v/>
      </c>
      <c r="I350" s="4" t="n">
        <v>13482.21407967506</v>
      </c>
      <c r="J350" t="inlineStr">
        <is>
          <t>actif</t>
        </is>
      </c>
    </row>
    <row r="351">
      <c r="A351" t="inlineStr">
        <is>
          <t>CTR-00355</t>
        </is>
      </c>
      <c r="B351" t="inlineStr">
        <is>
          <t>CLI-00995</t>
        </is>
      </c>
      <c r="C351" t="inlineStr">
        <is>
          <t>Île-de-France</t>
        </is>
      </c>
      <c r="D351" t="inlineStr">
        <is>
          <t>auto</t>
        </is>
      </c>
      <c r="E351" t="inlineStr">
        <is>
          <t>LOA</t>
        </is>
      </c>
      <c r="F351" t="inlineStr">
        <is>
          <t>2025-01-23</t>
        </is>
      </c>
      <c r="G351" s="4" t="n">
        <v>41547.58</v>
      </c>
      <c r="H351" s="4">
        <f>MAX(0,G351-SUMIFS('Paiements contrat'!$B:$B,'Paiements contrat'!$A:$A,A351))</f>
        <v/>
      </c>
      <c r="I351" s="4" t="n">
        <v>0</v>
      </c>
      <c r="J351" t="inlineStr">
        <is>
          <t>soldé</t>
        </is>
      </c>
    </row>
    <row r="352">
      <c r="A352" t="inlineStr">
        <is>
          <t>CTR-00356</t>
        </is>
      </c>
      <c r="B352" t="inlineStr">
        <is>
          <t>CLI-00726</t>
        </is>
      </c>
      <c r="C352" t="inlineStr">
        <is>
          <t>Île-de-France</t>
        </is>
      </c>
      <c r="D352" t="inlineStr">
        <is>
          <t>auto</t>
        </is>
      </c>
      <c r="E352" t="inlineStr">
        <is>
          <t>LOA</t>
        </is>
      </c>
      <c r="F352" t="inlineStr">
        <is>
          <t>2025-04-04</t>
        </is>
      </c>
      <c r="G352" s="4" t="n">
        <v>64759.06</v>
      </c>
      <c r="H352" s="4">
        <f>MAX(0,G352-SUMIFS('Paiements contrat'!$B:$B,'Paiements contrat'!$A:$A,A352))</f>
        <v/>
      </c>
      <c r="I352" s="4" t="n">
        <v>46732.89</v>
      </c>
      <c r="J352" t="inlineStr">
        <is>
          <t>actif</t>
        </is>
      </c>
    </row>
    <row r="353">
      <c r="A353" t="inlineStr">
        <is>
          <t>CTR-00357</t>
        </is>
      </c>
      <c r="B353" t="inlineStr">
        <is>
          <t>CLI-01376</t>
        </is>
      </c>
      <c r="C353" t="inlineStr">
        <is>
          <t>Île-de-France</t>
        </is>
      </c>
      <c r="D353" t="inlineStr">
        <is>
          <t>materiel</t>
        </is>
      </c>
      <c r="E353" t="inlineStr">
        <is>
          <t>crédit-bail</t>
        </is>
      </c>
      <c r="F353" t="inlineStr">
        <is>
          <t>2024-11-15</t>
        </is>
      </c>
      <c r="G353" s="4" t="n">
        <v>144492.04</v>
      </c>
      <c r="H353" s="4">
        <f>MAX(0,G353-SUMIFS('Paiements contrat'!$B:$B,'Paiements contrat'!$A:$A,A353))</f>
        <v/>
      </c>
      <c r="I353" s="4" t="n">
        <v>70936.31424238236</v>
      </c>
      <c r="J353" t="inlineStr">
        <is>
          <t>actif</t>
        </is>
      </c>
    </row>
    <row r="354">
      <c r="A354" t="inlineStr">
        <is>
          <t>CTR-00358</t>
        </is>
      </c>
      <c r="B354" t="inlineStr">
        <is>
          <t>CLI-00090</t>
        </is>
      </c>
      <c r="C354" t="inlineStr">
        <is>
          <t>Guadeloupe</t>
        </is>
      </c>
      <c r="D354" t="inlineStr">
        <is>
          <t>materiel</t>
        </is>
      </c>
      <c r="E354" t="inlineStr">
        <is>
          <t>crédit-bail</t>
        </is>
      </c>
      <c r="F354" t="inlineStr">
        <is>
          <t>2025-05-22</t>
        </is>
      </c>
      <c r="G354" s="4" t="n">
        <v>136243.62</v>
      </c>
      <c r="H354" s="4">
        <f>MAX(0,G354-SUMIFS('Paiements contrat'!$B:$B,'Paiements contrat'!$A:$A,A354))</f>
        <v/>
      </c>
      <c r="I354" s="4" t="n">
        <v>120218.6236727611</v>
      </c>
      <c r="J354" t="inlineStr">
        <is>
          <t>actif</t>
        </is>
      </c>
    </row>
    <row r="355">
      <c r="A355" t="inlineStr">
        <is>
          <t>CTR-00359</t>
        </is>
      </c>
      <c r="B355" t="inlineStr">
        <is>
          <t>CLI-01433</t>
        </is>
      </c>
      <c r="C355" t="inlineStr">
        <is>
          <t>Île-de-France</t>
        </is>
      </c>
      <c r="D355" t="inlineStr">
        <is>
          <t>auto</t>
        </is>
      </c>
      <c r="E355" t="inlineStr">
        <is>
          <t>LLD</t>
        </is>
      </c>
      <c r="F355" t="inlineStr">
        <is>
          <t>2025-07-25</t>
        </is>
      </c>
      <c r="G355" s="4" t="n">
        <v>17853.88</v>
      </c>
      <c r="H355" s="4">
        <f>MAX(0,G355-SUMIFS('Paiements contrat'!$B:$B,'Paiements contrat'!$A:$A,A355))</f>
        <v/>
      </c>
      <c r="I355" s="4" t="n">
        <v>14381.58</v>
      </c>
      <c r="J355" t="inlineStr">
        <is>
          <t>actif</t>
        </is>
      </c>
    </row>
    <row r="356">
      <c r="A356" t="inlineStr">
        <is>
          <t>CTR-00360</t>
        </is>
      </c>
      <c r="B356" t="inlineStr">
        <is>
          <t>CLI-01185</t>
        </is>
      </c>
      <c r="C356" t="inlineStr">
        <is>
          <t>Guyane</t>
        </is>
      </c>
      <c r="D356" t="inlineStr">
        <is>
          <t>bateau</t>
        </is>
      </c>
      <c r="E356" t="inlineStr">
        <is>
          <t>LOA</t>
        </is>
      </c>
      <c r="F356" t="inlineStr">
        <is>
          <t>2025-03-06</t>
        </is>
      </c>
      <c r="G356" s="4" t="n">
        <v>158832.69</v>
      </c>
      <c r="H356" s="4">
        <f>MAX(0,G356-SUMIFS('Paiements contrat'!$B:$B,'Paiements contrat'!$A:$A,A356))</f>
        <v/>
      </c>
      <c r="I356" s="4" t="n">
        <v>89044.46248616096</v>
      </c>
      <c r="J356" t="inlineStr">
        <is>
          <t>actif</t>
        </is>
      </c>
    </row>
    <row r="357">
      <c r="A357" t="inlineStr">
        <is>
          <t>CTR-00361</t>
        </is>
      </c>
      <c r="B357" t="inlineStr">
        <is>
          <t>CLI-00061</t>
        </is>
      </c>
      <c r="C357" t="inlineStr">
        <is>
          <t>Île-de-France</t>
        </is>
      </c>
      <c r="D357" t="inlineStr">
        <is>
          <t>materiel</t>
        </is>
      </c>
      <c r="E357" t="inlineStr">
        <is>
          <t>crédit-bail</t>
        </is>
      </c>
      <c r="F357" t="inlineStr">
        <is>
          <t>2026-03-03</t>
        </is>
      </c>
      <c r="G357" s="4" t="n">
        <v>48700.1</v>
      </c>
      <c r="H357" s="4">
        <f>MAX(0,G357-SUMIFS('Paiements contrat'!$B:$B,'Paiements contrat'!$A:$A,A357))</f>
        <v/>
      </c>
      <c r="I357" s="4" t="n">
        <v>48700.1</v>
      </c>
      <c r="J357" t="inlineStr">
        <is>
          <t>contentieux</t>
        </is>
      </c>
    </row>
    <row r="358">
      <c r="A358" t="inlineStr">
        <is>
          <t>CTR-00362</t>
        </is>
      </c>
      <c r="B358" t="inlineStr">
        <is>
          <t>CLI-01351</t>
        </is>
      </c>
      <c r="C358" t="inlineStr">
        <is>
          <t>Île-de-France</t>
        </is>
      </c>
      <c r="D358" t="inlineStr">
        <is>
          <t>bateau</t>
        </is>
      </c>
      <c r="E358" t="inlineStr">
        <is>
          <t>LOA</t>
        </is>
      </c>
      <c r="F358" t="inlineStr">
        <is>
          <t>2024-07-27</t>
        </is>
      </c>
      <c r="G358" s="4" t="n">
        <v>198913.35</v>
      </c>
      <c r="H358" s="4">
        <f>MAX(0,G358-SUMIFS('Paiements contrat'!$B:$B,'Paiements contrat'!$A:$A,A358))</f>
        <v/>
      </c>
      <c r="I358" s="4" t="n">
        <v>127166.57</v>
      </c>
      <c r="J358" t="inlineStr">
        <is>
          <t>actif</t>
        </is>
      </c>
    </row>
    <row r="359">
      <c r="A359" t="inlineStr">
        <is>
          <t>CTR-00363</t>
        </is>
      </c>
      <c r="B359" t="inlineStr">
        <is>
          <t>CLI-00662</t>
        </is>
      </c>
      <c r="C359" t="inlineStr">
        <is>
          <t>Guadeloupe</t>
        </is>
      </c>
      <c r="D359" t="inlineStr">
        <is>
          <t>materiel</t>
        </is>
      </c>
      <c r="E359" t="inlineStr">
        <is>
          <t>crédit-bail</t>
        </is>
      </c>
      <c r="F359" t="inlineStr">
        <is>
          <t>2025-12-02</t>
        </is>
      </c>
      <c r="G359" s="4" t="n">
        <v>90266.17</v>
      </c>
      <c r="H359" s="4">
        <f>MAX(0,G359-SUMIFS('Paiements contrat'!$B:$B,'Paiements contrat'!$A:$A,A359))</f>
        <v/>
      </c>
      <c r="I359" s="4" t="n">
        <v>68362.35000000001</v>
      </c>
      <c r="J359" t="inlineStr">
        <is>
          <t>actif</t>
        </is>
      </c>
    </row>
    <row r="360">
      <c r="A360" t="inlineStr">
        <is>
          <t>CTR-00364</t>
        </is>
      </c>
      <c r="B360" t="inlineStr">
        <is>
          <t>CLI-01141</t>
        </is>
      </c>
      <c r="C360" t="inlineStr">
        <is>
          <t>Guyane</t>
        </is>
      </c>
      <c r="D360" t="inlineStr">
        <is>
          <t>auto</t>
        </is>
      </c>
      <c r="E360" t="inlineStr">
        <is>
          <t>LLD</t>
        </is>
      </c>
      <c r="F360" t="inlineStr">
        <is>
          <t>2025-06-09</t>
        </is>
      </c>
      <c r="G360" s="4" t="n">
        <v>20118.08</v>
      </c>
      <c r="H360" s="4">
        <f>MAX(0,G360-SUMIFS('Paiements contrat'!$B:$B,'Paiements contrat'!$A:$A,A360))</f>
        <v/>
      </c>
      <c r="I360" s="4" t="n">
        <v>16467.9</v>
      </c>
      <c r="J360" t="inlineStr">
        <is>
          <t>actif</t>
        </is>
      </c>
    </row>
    <row r="361">
      <c r="A361" t="inlineStr">
        <is>
          <t>CTR-00365</t>
        </is>
      </c>
      <c r="B361" t="inlineStr">
        <is>
          <t>CLI-00592</t>
        </is>
      </c>
      <c r="C361" t="inlineStr">
        <is>
          <t>Île-de-France</t>
        </is>
      </c>
      <c r="D361" t="inlineStr">
        <is>
          <t>auto</t>
        </is>
      </c>
      <c r="E361" t="inlineStr">
        <is>
          <t>LLD</t>
        </is>
      </c>
      <c r="F361" t="inlineStr">
        <is>
          <t>2024-08-08</t>
        </is>
      </c>
      <c r="G361" s="4" t="n">
        <v>22523.81</v>
      </c>
      <c r="H361" s="4">
        <f>MAX(0,G361-SUMIFS('Paiements contrat'!$B:$B,'Paiements contrat'!$A:$A,A361))</f>
        <v/>
      </c>
      <c r="I361" s="4" t="n">
        <v>5954.010000000002</v>
      </c>
      <c r="J361" t="inlineStr">
        <is>
          <t>actif</t>
        </is>
      </c>
    </row>
    <row r="362">
      <c r="A362" t="inlineStr">
        <is>
          <t>CTR-00366</t>
        </is>
      </c>
      <c r="B362" t="inlineStr">
        <is>
          <t>CLI-01495</t>
        </is>
      </c>
      <c r="C362" t="inlineStr">
        <is>
          <t>Île-de-France</t>
        </is>
      </c>
      <c r="D362" t="inlineStr">
        <is>
          <t>auto</t>
        </is>
      </c>
      <c r="E362" t="inlineStr">
        <is>
          <t>LLD</t>
        </is>
      </c>
      <c r="F362" t="inlineStr">
        <is>
          <t>2026-01-16</t>
        </is>
      </c>
      <c r="G362" s="4" t="n">
        <v>45260.44</v>
      </c>
      <c r="H362" s="4">
        <f>MAX(0,G362-SUMIFS('Paiements contrat'!$B:$B,'Paiements contrat'!$A:$A,A362))</f>
        <v/>
      </c>
      <c r="I362" s="4" t="n">
        <v>43958.79</v>
      </c>
      <c r="J362" t="inlineStr">
        <is>
          <t>actif</t>
        </is>
      </c>
    </row>
    <row r="363">
      <c r="A363" t="inlineStr">
        <is>
          <t>CTR-00367</t>
        </is>
      </c>
      <c r="B363" t="inlineStr">
        <is>
          <t>CLI-01215</t>
        </is>
      </c>
      <c r="C363" t="inlineStr">
        <is>
          <t>Île-de-France</t>
        </is>
      </c>
      <c r="D363" t="inlineStr">
        <is>
          <t>auto</t>
        </is>
      </c>
      <c r="E363" t="inlineStr">
        <is>
          <t>LOA</t>
        </is>
      </c>
      <c r="F363" t="inlineStr">
        <is>
          <t>2026-02-21</t>
        </is>
      </c>
      <c r="G363" s="4" t="n">
        <v>22839.11</v>
      </c>
      <c r="H363" s="4">
        <f>MAX(0,G363-SUMIFS('Paiements contrat'!$B:$B,'Paiements contrat'!$A:$A,A363))</f>
        <v/>
      </c>
      <c r="I363" s="4" t="n">
        <v>22435.7</v>
      </c>
      <c r="J363" t="inlineStr">
        <is>
          <t>actif</t>
        </is>
      </c>
    </row>
    <row r="364">
      <c r="A364" t="inlineStr">
        <is>
          <t>CTR-00368</t>
        </is>
      </c>
      <c r="B364" t="inlineStr">
        <is>
          <t>CLI-00181</t>
        </is>
      </c>
      <c r="C364" t="inlineStr">
        <is>
          <t>Réunion</t>
        </is>
      </c>
      <c r="D364" t="inlineStr">
        <is>
          <t>materiel</t>
        </is>
      </c>
      <c r="E364" t="inlineStr">
        <is>
          <t>crédit-bail</t>
        </is>
      </c>
      <c r="F364" t="inlineStr">
        <is>
          <t>2025-05-07</t>
        </is>
      </c>
      <c r="G364" s="4" t="n">
        <v>70125.82000000001</v>
      </c>
      <c r="H364" s="4">
        <f>MAX(0,G364-SUMIFS('Paiements contrat'!$B:$B,'Paiements contrat'!$A:$A,A364))</f>
        <v/>
      </c>
      <c r="I364" s="4" t="n">
        <v>53794.83000000001</v>
      </c>
      <c r="J364" t="inlineStr">
        <is>
          <t>actif</t>
        </is>
      </c>
    </row>
    <row r="365">
      <c r="A365" t="inlineStr">
        <is>
          <t>CTR-00369</t>
        </is>
      </c>
      <c r="B365" t="inlineStr">
        <is>
          <t>CLI-00341</t>
        </is>
      </c>
      <c r="C365" t="inlineStr">
        <is>
          <t>Île-de-France</t>
        </is>
      </c>
      <c r="D365" t="inlineStr">
        <is>
          <t>auto</t>
        </is>
      </c>
      <c r="E365" t="inlineStr">
        <is>
          <t>LOA</t>
        </is>
      </c>
      <c r="F365" t="inlineStr">
        <is>
          <t>2026-01-07</t>
        </is>
      </c>
      <c r="G365" s="4" t="n">
        <v>61581.99</v>
      </c>
      <c r="H365" s="4">
        <f>MAX(0,G365-SUMIFS('Paiements contrat'!$B:$B,'Paiements contrat'!$A:$A,A365))</f>
        <v/>
      </c>
      <c r="I365" s="4" t="n">
        <v>54859.09</v>
      </c>
      <c r="J365" t="inlineStr">
        <is>
          <t>actif</t>
        </is>
      </c>
    </row>
    <row r="366">
      <c r="A366" t="inlineStr">
        <is>
          <t>CTR-00370</t>
        </is>
      </c>
      <c r="B366" t="inlineStr">
        <is>
          <t>CLI-01150</t>
        </is>
      </c>
      <c r="C366" t="inlineStr">
        <is>
          <t>Île-de-France</t>
        </is>
      </c>
      <c r="D366" t="inlineStr">
        <is>
          <t>materiel</t>
        </is>
      </c>
      <c r="E366" t="inlineStr">
        <is>
          <t>crédit-bail</t>
        </is>
      </c>
      <c r="F366" t="inlineStr">
        <is>
          <t>2024-08-08</t>
        </is>
      </c>
      <c r="G366" s="4" t="n">
        <v>24010.93</v>
      </c>
      <c r="H366" s="4">
        <f>MAX(0,G366-SUMIFS('Paiements contrat'!$B:$B,'Paiements contrat'!$A:$A,A366))</f>
        <v/>
      </c>
      <c r="I366" s="4" t="n">
        <v>7552.93544804044</v>
      </c>
      <c r="J366" t="inlineStr">
        <is>
          <t>actif</t>
        </is>
      </c>
    </row>
    <row r="367">
      <c r="A367" t="inlineStr">
        <is>
          <t>CTR-00371</t>
        </is>
      </c>
      <c r="B367" t="inlineStr">
        <is>
          <t>CLI-00959</t>
        </is>
      </c>
      <c r="C367" t="inlineStr">
        <is>
          <t>Île-de-France</t>
        </is>
      </c>
      <c r="D367" t="inlineStr">
        <is>
          <t>auto</t>
        </is>
      </c>
      <c r="E367" t="inlineStr">
        <is>
          <t>LOA</t>
        </is>
      </c>
      <c r="F367" t="inlineStr">
        <is>
          <t>2024-04-09</t>
        </is>
      </c>
      <c r="G367" s="4" t="n">
        <v>18758.25</v>
      </c>
      <c r="H367" s="4">
        <f>MAX(0,G367-SUMIFS('Paiements contrat'!$B:$B,'Paiements contrat'!$A:$A,A367))</f>
        <v/>
      </c>
      <c r="I367" s="4" t="n">
        <v>5160.07</v>
      </c>
      <c r="J367" t="inlineStr">
        <is>
          <t>actif</t>
        </is>
      </c>
    </row>
    <row r="368">
      <c r="A368" t="inlineStr">
        <is>
          <t>CTR-00372</t>
        </is>
      </c>
      <c r="B368" t="inlineStr">
        <is>
          <t>CLI-00122</t>
        </is>
      </c>
      <c r="C368" t="inlineStr">
        <is>
          <t>Île-de-France</t>
        </is>
      </c>
      <c r="D368" t="inlineStr">
        <is>
          <t>materiel</t>
        </is>
      </c>
      <c r="E368" t="inlineStr">
        <is>
          <t>crédit-bail</t>
        </is>
      </c>
      <c r="F368" t="inlineStr">
        <is>
          <t>2025-07-09</t>
        </is>
      </c>
      <c r="G368" s="4" t="n">
        <v>151105.96</v>
      </c>
      <c r="H368" s="4">
        <f>MAX(0,G368-SUMIFS('Paiements contrat'!$B:$B,'Paiements contrat'!$A:$A,A368))</f>
        <v/>
      </c>
      <c r="I368" s="4" t="n">
        <v>114900.97</v>
      </c>
      <c r="J368" t="inlineStr">
        <is>
          <t>actif</t>
        </is>
      </c>
    </row>
    <row r="369">
      <c r="A369" t="inlineStr">
        <is>
          <t>CTR-00373</t>
        </is>
      </c>
      <c r="B369" t="inlineStr">
        <is>
          <t>CLI-00054</t>
        </is>
      </c>
      <c r="C369" t="inlineStr">
        <is>
          <t>Île-de-France</t>
        </is>
      </c>
      <c r="D369" t="inlineStr">
        <is>
          <t>auto</t>
        </is>
      </c>
      <c r="E369" t="inlineStr">
        <is>
          <t>LLD</t>
        </is>
      </c>
      <c r="F369" t="inlineStr">
        <is>
          <t>2025-05-07</t>
        </is>
      </c>
      <c r="G369" s="4" t="n">
        <v>38094.73</v>
      </c>
      <c r="H369" s="4">
        <f>MAX(0,G369-SUMIFS('Paiements contrat'!$B:$B,'Paiements contrat'!$A:$A,A369))</f>
        <v/>
      </c>
      <c r="I369" s="4" t="n">
        <v>22677.45</v>
      </c>
      <c r="J369" t="inlineStr">
        <is>
          <t>actif</t>
        </is>
      </c>
    </row>
    <row r="370">
      <c r="A370" t="inlineStr">
        <is>
          <t>CTR-00374</t>
        </is>
      </c>
      <c r="B370" t="inlineStr">
        <is>
          <t>CLI-01429</t>
        </is>
      </c>
      <c r="C370" t="inlineStr">
        <is>
          <t>Île-de-France</t>
        </is>
      </c>
      <c r="D370" t="inlineStr">
        <is>
          <t>auto</t>
        </is>
      </c>
      <c r="E370" t="inlineStr">
        <is>
          <t>LOA</t>
        </is>
      </c>
      <c r="F370" t="inlineStr">
        <is>
          <t>2025-06-14</t>
        </is>
      </c>
      <c r="G370" s="4" t="n">
        <v>61062.59</v>
      </c>
      <c r="H370" s="4">
        <f>MAX(0,G370-SUMIFS('Paiements contrat'!$B:$B,'Paiements contrat'!$A:$A,A370))</f>
        <v/>
      </c>
      <c r="I370" s="4" t="n">
        <v>31061.57</v>
      </c>
      <c r="J370" t="inlineStr">
        <is>
          <t>actif</t>
        </is>
      </c>
    </row>
    <row r="371">
      <c r="A371" t="inlineStr">
        <is>
          <t>CTR-00375</t>
        </is>
      </c>
      <c r="B371" t="inlineStr">
        <is>
          <t>CLI-01201</t>
        </is>
      </c>
      <c r="C371" t="inlineStr">
        <is>
          <t>Guadeloupe</t>
        </is>
      </c>
      <c r="D371" t="inlineStr">
        <is>
          <t>auto</t>
        </is>
      </c>
      <c r="E371" t="inlineStr">
        <is>
          <t>LLD</t>
        </is>
      </c>
      <c r="F371" t="inlineStr">
        <is>
          <t>2024-06-14</t>
        </is>
      </c>
      <c r="G371" s="4" t="n">
        <v>76881.62</v>
      </c>
      <c r="H371" s="4">
        <f>MAX(0,G371-SUMIFS('Paiements contrat'!$B:$B,'Paiements contrat'!$A:$A,A371))</f>
        <v/>
      </c>
      <c r="I371" s="4" t="n">
        <v>13185.75999999999</v>
      </c>
      <c r="J371" t="inlineStr">
        <is>
          <t>actif</t>
        </is>
      </c>
    </row>
    <row r="372">
      <c r="A372" t="inlineStr">
        <is>
          <t>CTR-00376</t>
        </is>
      </c>
      <c r="B372" t="inlineStr">
        <is>
          <t>CLI-01071</t>
        </is>
      </c>
      <c r="C372" t="inlineStr">
        <is>
          <t>Île-de-France</t>
        </is>
      </c>
      <c r="D372" t="inlineStr">
        <is>
          <t>auto</t>
        </is>
      </c>
      <c r="E372" t="inlineStr">
        <is>
          <t>LOA</t>
        </is>
      </c>
      <c r="F372" t="inlineStr">
        <is>
          <t>2026-01-09</t>
        </is>
      </c>
      <c r="G372" s="4" t="n">
        <v>79228.25999999999</v>
      </c>
      <c r="H372" s="4">
        <f>MAX(0,G372-SUMIFS('Paiements contrat'!$B:$B,'Paiements contrat'!$A:$A,A372))</f>
        <v/>
      </c>
      <c r="I372" s="4" t="n">
        <v>74255.37</v>
      </c>
      <c r="J372" t="inlineStr">
        <is>
          <t>actif</t>
        </is>
      </c>
    </row>
    <row r="373">
      <c r="A373" t="inlineStr">
        <is>
          <t>CTR-00377</t>
        </is>
      </c>
      <c r="B373" t="inlineStr">
        <is>
          <t>CLI-00654</t>
        </is>
      </c>
      <c r="C373" t="inlineStr">
        <is>
          <t>Réunion</t>
        </is>
      </c>
      <c r="D373" t="inlineStr">
        <is>
          <t>auto</t>
        </is>
      </c>
      <c r="E373" t="inlineStr">
        <is>
          <t>LOA</t>
        </is>
      </c>
      <c r="F373" t="inlineStr">
        <is>
          <t>2026-02-14</t>
        </is>
      </c>
      <c r="G373" s="4" t="n">
        <v>43606.47</v>
      </c>
      <c r="H373" s="4">
        <f>MAX(0,G373-SUMIFS('Paiements contrat'!$B:$B,'Paiements contrat'!$A:$A,A373))</f>
        <v/>
      </c>
      <c r="I373" s="4" t="n">
        <v>41901.86</v>
      </c>
      <c r="J373" t="inlineStr">
        <is>
          <t>actif</t>
        </is>
      </c>
    </row>
    <row r="374">
      <c r="A374" t="inlineStr">
        <is>
          <t>CTR-00378</t>
        </is>
      </c>
      <c r="B374" t="inlineStr">
        <is>
          <t>CLI-00411</t>
        </is>
      </c>
      <c r="C374" t="inlineStr">
        <is>
          <t>Île-de-France</t>
        </is>
      </c>
      <c r="D374" t="inlineStr">
        <is>
          <t>auto</t>
        </is>
      </c>
      <c r="E374" t="inlineStr">
        <is>
          <t>LLD</t>
        </is>
      </c>
      <c r="F374" t="inlineStr">
        <is>
          <t>2024-05-23</t>
        </is>
      </c>
      <c r="G374" s="4" t="n">
        <v>39088.13</v>
      </c>
      <c r="H374" s="4">
        <f>MAX(0,G374-SUMIFS('Paiements contrat'!$B:$B,'Paiements contrat'!$A:$A,A374))</f>
        <v/>
      </c>
      <c r="I374" s="4" t="n">
        <v>19340.06997928924</v>
      </c>
      <c r="J374" t="inlineStr">
        <is>
          <t>actif</t>
        </is>
      </c>
    </row>
    <row r="375">
      <c r="A375" t="inlineStr">
        <is>
          <t>CTR-00379</t>
        </is>
      </c>
      <c r="B375" t="inlineStr">
        <is>
          <t>CLI-00276</t>
        </is>
      </c>
      <c r="C375" t="inlineStr">
        <is>
          <t>Île-de-France</t>
        </is>
      </c>
      <c r="D375" t="inlineStr">
        <is>
          <t>auto</t>
        </is>
      </c>
      <c r="E375" t="inlineStr">
        <is>
          <t>LOA</t>
        </is>
      </c>
      <c r="F375" t="inlineStr">
        <is>
          <t>2024-12-10</t>
        </is>
      </c>
      <c r="G375" s="4" t="n">
        <v>75337.8</v>
      </c>
      <c r="H375" s="4">
        <f>MAX(0,G375-SUMIFS('Paiements contrat'!$B:$B,'Paiements contrat'!$A:$A,A375))</f>
        <v/>
      </c>
      <c r="I375" s="4" t="n">
        <v>49839.72</v>
      </c>
      <c r="J375" t="inlineStr">
        <is>
          <t>actif</t>
        </is>
      </c>
    </row>
    <row r="376">
      <c r="A376" t="inlineStr">
        <is>
          <t>CTR-00380</t>
        </is>
      </c>
      <c r="B376" t="inlineStr">
        <is>
          <t>CLI-01467</t>
        </is>
      </c>
      <c r="C376" t="inlineStr">
        <is>
          <t>Île-de-France</t>
        </is>
      </c>
      <c r="D376" t="inlineStr">
        <is>
          <t>materiel</t>
        </is>
      </c>
      <c r="E376" t="inlineStr">
        <is>
          <t>crédit-bail</t>
        </is>
      </c>
      <c r="F376" t="inlineStr">
        <is>
          <t>2025-04-07</t>
        </is>
      </c>
      <c r="G376" s="4" t="n">
        <v>56748.6</v>
      </c>
      <c r="H376" s="4">
        <f>MAX(0,G376-SUMIFS('Paiements contrat'!$B:$B,'Paiements contrat'!$A:$A,A376))</f>
        <v/>
      </c>
      <c r="I376" s="4" t="n">
        <v>36185.46</v>
      </c>
      <c r="J376" t="inlineStr">
        <is>
          <t>actif</t>
        </is>
      </c>
    </row>
    <row r="377">
      <c r="A377" t="inlineStr">
        <is>
          <t>CTR-00381</t>
        </is>
      </c>
      <c r="B377" t="inlineStr">
        <is>
          <t>CLI-01260</t>
        </is>
      </c>
      <c r="C377" t="inlineStr">
        <is>
          <t>Île-de-France</t>
        </is>
      </c>
      <c r="D377" t="inlineStr">
        <is>
          <t>auto</t>
        </is>
      </c>
      <c r="E377" t="inlineStr">
        <is>
          <t>LLD</t>
        </is>
      </c>
      <c r="F377" t="inlineStr">
        <is>
          <t>2024-07-04</t>
        </is>
      </c>
      <c r="G377" s="4" t="n">
        <v>16500.74</v>
      </c>
      <c r="H377" s="4">
        <f>MAX(0,G377-SUMIFS('Paiements contrat'!$B:$B,'Paiements contrat'!$A:$A,A377))</f>
        <v/>
      </c>
      <c r="I377" s="4" t="n">
        <v>10142.04</v>
      </c>
      <c r="J377" t="inlineStr">
        <is>
          <t>actif</t>
        </is>
      </c>
    </row>
    <row r="378">
      <c r="A378" t="inlineStr">
        <is>
          <t>CTR-00382</t>
        </is>
      </c>
      <c r="B378" t="inlineStr">
        <is>
          <t>CLI-01465</t>
        </is>
      </c>
      <c r="C378" t="inlineStr">
        <is>
          <t>Réunion</t>
        </is>
      </c>
      <c r="D378" t="inlineStr">
        <is>
          <t>auto</t>
        </is>
      </c>
      <c r="E378" t="inlineStr">
        <is>
          <t>LLD</t>
        </is>
      </c>
      <c r="F378" t="inlineStr">
        <is>
          <t>2025-04-25</t>
        </is>
      </c>
      <c r="G378" s="4" t="n">
        <v>18128.85</v>
      </c>
      <c r="H378" s="4">
        <f>MAX(0,G378-SUMIFS('Paiements contrat'!$B:$B,'Paiements contrat'!$A:$A,A378))</f>
        <v/>
      </c>
      <c r="I378" s="4" t="n">
        <v>12930.89</v>
      </c>
      <c r="J378" t="inlineStr">
        <is>
          <t>actif</t>
        </is>
      </c>
    </row>
    <row r="379">
      <c r="A379" t="inlineStr">
        <is>
          <t>CTR-00383</t>
        </is>
      </c>
      <c r="B379" t="inlineStr">
        <is>
          <t>CLI-00189</t>
        </is>
      </c>
      <c r="C379" t="inlineStr">
        <is>
          <t>Île-de-France</t>
        </is>
      </c>
      <c r="D379" t="inlineStr">
        <is>
          <t>auto</t>
        </is>
      </c>
      <c r="E379" t="inlineStr">
        <is>
          <t>LOA</t>
        </is>
      </c>
      <c r="F379" t="inlineStr">
        <is>
          <t>2025-08-19</t>
        </is>
      </c>
      <c r="G379" s="4" t="n">
        <v>52767.65</v>
      </c>
      <c r="H379" s="4">
        <f>MAX(0,G379-SUMIFS('Paiements contrat'!$B:$B,'Paiements contrat'!$A:$A,A379))</f>
        <v/>
      </c>
      <c r="I379" s="4" t="n">
        <v>40221.29</v>
      </c>
      <c r="J379" t="inlineStr">
        <is>
          <t>actif</t>
        </is>
      </c>
    </row>
    <row r="380">
      <c r="A380" t="inlineStr">
        <is>
          <t>CTR-00384</t>
        </is>
      </c>
      <c r="B380" t="inlineStr">
        <is>
          <t>CLI-01086</t>
        </is>
      </c>
      <c r="C380" t="inlineStr">
        <is>
          <t>Guyane</t>
        </is>
      </c>
      <c r="D380" t="inlineStr">
        <is>
          <t>materiel</t>
        </is>
      </c>
      <c r="E380" t="inlineStr">
        <is>
          <t>crédit-bail</t>
        </is>
      </c>
      <c r="F380" t="inlineStr">
        <is>
          <t>2026-01-05</t>
        </is>
      </c>
      <c r="G380" s="4" t="n">
        <v>101138.13</v>
      </c>
      <c r="H380" s="4">
        <f>MAX(0,G380-SUMIFS('Paiements contrat'!$B:$B,'Paiements contrat'!$A:$A,A380))</f>
        <v/>
      </c>
      <c r="I380" s="4" t="n">
        <v>90422.40000000001</v>
      </c>
      <c r="J380" t="inlineStr">
        <is>
          <t>actif</t>
        </is>
      </c>
    </row>
    <row r="381">
      <c r="A381" t="inlineStr">
        <is>
          <t>CTR-00385</t>
        </is>
      </c>
      <c r="B381" t="inlineStr">
        <is>
          <t>CLI-00804</t>
        </is>
      </c>
      <c r="C381" t="inlineStr">
        <is>
          <t>Réunion</t>
        </is>
      </c>
      <c r="D381" t="inlineStr">
        <is>
          <t>materiel</t>
        </is>
      </c>
      <c r="E381" t="inlineStr">
        <is>
          <t>crédit-bail</t>
        </is>
      </c>
      <c r="F381" t="inlineStr">
        <is>
          <t>2026-02-19</t>
        </is>
      </c>
      <c r="G381" s="4" t="n">
        <v>27256.17</v>
      </c>
      <c r="H381" s="4">
        <f>MAX(0,G381-SUMIFS('Paiements contrat'!$B:$B,'Paiements contrat'!$A:$A,A381))</f>
        <v/>
      </c>
      <c r="I381" s="4" t="n">
        <v>26212.37</v>
      </c>
      <c r="J381" t="inlineStr">
        <is>
          <t>actif</t>
        </is>
      </c>
    </row>
    <row r="382">
      <c r="A382" t="inlineStr">
        <is>
          <t>CTR-00386</t>
        </is>
      </c>
      <c r="B382" t="inlineStr">
        <is>
          <t>CLI-01283</t>
        </is>
      </c>
      <c r="C382" t="inlineStr">
        <is>
          <t>Île-de-France</t>
        </is>
      </c>
      <c r="D382" t="inlineStr">
        <is>
          <t>auto</t>
        </is>
      </c>
      <c r="E382" t="inlineStr">
        <is>
          <t>LOA</t>
        </is>
      </c>
      <c r="F382" t="inlineStr">
        <is>
          <t>2026-03-03</t>
        </is>
      </c>
      <c r="G382" s="4" t="n">
        <v>56293.12</v>
      </c>
      <c r="H382" s="4">
        <f>MAX(0,G382-SUMIFS('Paiements contrat'!$B:$B,'Paiements contrat'!$A:$A,A382))</f>
        <v/>
      </c>
      <c r="I382" s="4" t="n">
        <v>56293.12</v>
      </c>
      <c r="J382" t="inlineStr">
        <is>
          <t>actif</t>
        </is>
      </c>
    </row>
    <row r="383">
      <c r="A383" t="inlineStr">
        <is>
          <t>CTR-00387</t>
        </is>
      </c>
      <c r="B383" t="inlineStr">
        <is>
          <t>CLI-00988</t>
        </is>
      </c>
      <c r="C383" t="inlineStr">
        <is>
          <t>Guadeloupe</t>
        </is>
      </c>
      <c r="D383" t="inlineStr">
        <is>
          <t>auto</t>
        </is>
      </c>
      <c r="E383" t="inlineStr">
        <is>
          <t>LOA</t>
        </is>
      </c>
      <c r="F383" t="inlineStr">
        <is>
          <t>2025-06-01</t>
        </is>
      </c>
      <c r="G383" s="4" t="n">
        <v>39138.72</v>
      </c>
      <c r="H383" s="4">
        <f>MAX(0,G383-SUMIFS('Paiements contrat'!$B:$B,'Paiements contrat'!$A:$A,A383))</f>
        <v/>
      </c>
      <c r="I383" s="4" t="n">
        <v>32785.09</v>
      </c>
      <c r="J383" t="inlineStr">
        <is>
          <t>actif</t>
        </is>
      </c>
    </row>
    <row r="384">
      <c r="A384" t="inlineStr">
        <is>
          <t>CTR-00388</t>
        </is>
      </c>
      <c r="B384" t="inlineStr">
        <is>
          <t>CLI-00839</t>
        </is>
      </c>
      <c r="C384" t="inlineStr">
        <is>
          <t>Île-de-France</t>
        </is>
      </c>
      <c r="D384" t="inlineStr">
        <is>
          <t>bateau</t>
        </is>
      </c>
      <c r="E384" t="inlineStr">
        <is>
          <t>LOA</t>
        </is>
      </c>
      <c r="F384" t="inlineStr">
        <is>
          <t>2025-05-22</t>
        </is>
      </c>
      <c r="G384" s="4" t="n">
        <v>43521.82</v>
      </c>
      <c r="H384" s="4">
        <f>MAX(0,G384-SUMIFS('Paiements contrat'!$B:$B,'Paiements contrat'!$A:$A,A384))</f>
        <v/>
      </c>
      <c r="I384" s="4" t="n">
        <v>37138.35</v>
      </c>
      <c r="J384" t="inlineStr">
        <is>
          <t>actif</t>
        </is>
      </c>
    </row>
    <row r="385">
      <c r="A385" t="inlineStr">
        <is>
          <t>CTR-00389</t>
        </is>
      </c>
      <c r="B385" t="inlineStr">
        <is>
          <t>CLI-00295</t>
        </is>
      </c>
      <c r="C385" t="inlineStr">
        <is>
          <t>Île-de-France</t>
        </is>
      </c>
      <c r="D385" t="inlineStr">
        <is>
          <t>auto</t>
        </is>
      </c>
      <c r="E385" t="inlineStr">
        <is>
          <t>LOA</t>
        </is>
      </c>
      <c r="F385" t="inlineStr">
        <is>
          <t>2024-05-14</t>
        </is>
      </c>
      <c r="G385" s="4" t="n">
        <v>13915.19</v>
      </c>
      <c r="H385" s="4">
        <f>MAX(0,G385-SUMIFS('Paiements contrat'!$B:$B,'Paiements contrat'!$A:$A,A385))</f>
        <v/>
      </c>
      <c r="I385" s="4" t="n">
        <v>1155.08</v>
      </c>
      <c r="J385" t="inlineStr">
        <is>
          <t>soldé</t>
        </is>
      </c>
    </row>
    <row r="386">
      <c r="A386" t="inlineStr">
        <is>
          <t>CTR-00390</t>
        </is>
      </c>
      <c r="B386" t="inlineStr">
        <is>
          <t>CLI-00796</t>
        </is>
      </c>
      <c r="C386" t="inlineStr">
        <is>
          <t>Île-de-France</t>
        </is>
      </c>
      <c r="D386" t="inlineStr">
        <is>
          <t>materiel</t>
        </is>
      </c>
      <c r="E386" t="inlineStr">
        <is>
          <t>crédit-bail</t>
        </is>
      </c>
      <c r="F386" t="inlineStr">
        <is>
          <t>2024-07-25</t>
        </is>
      </c>
      <c r="G386" s="4" t="n">
        <v>94186.99000000001</v>
      </c>
      <c r="H386" s="4">
        <f>MAX(0,G386-SUMIFS('Paiements contrat'!$B:$B,'Paiements contrat'!$A:$A,A386))</f>
        <v/>
      </c>
      <c r="I386" s="4" t="n">
        <v>22648.52838872714</v>
      </c>
      <c r="J386" t="inlineStr">
        <is>
          <t>actif</t>
        </is>
      </c>
    </row>
    <row r="387">
      <c r="A387" t="inlineStr">
        <is>
          <t>CTR-00391</t>
        </is>
      </c>
      <c r="B387" t="inlineStr">
        <is>
          <t>CLI-01112</t>
        </is>
      </c>
      <c r="C387" t="inlineStr">
        <is>
          <t>Île-de-France</t>
        </is>
      </c>
      <c r="D387" t="inlineStr">
        <is>
          <t>materiel</t>
        </is>
      </c>
      <c r="E387" t="inlineStr">
        <is>
          <t>crédit-bail</t>
        </is>
      </c>
      <c r="F387" t="inlineStr">
        <is>
          <t>2025-08-20</t>
        </is>
      </c>
      <c r="G387" s="4" t="n">
        <v>168756.35</v>
      </c>
      <c r="H387" s="4">
        <f>MAX(0,G387-SUMIFS('Paiements contrat'!$B:$B,'Paiements contrat'!$A:$A,A387))</f>
        <v/>
      </c>
      <c r="I387" s="4" t="n">
        <v>146219.83</v>
      </c>
      <c r="J387" t="inlineStr">
        <is>
          <t>actif</t>
        </is>
      </c>
    </row>
    <row r="388">
      <c r="A388" t="inlineStr">
        <is>
          <t>CTR-00392</t>
        </is>
      </c>
      <c r="B388" t="inlineStr">
        <is>
          <t>CLI-00680</t>
        </is>
      </c>
      <c r="C388" t="inlineStr">
        <is>
          <t>Île-de-France</t>
        </is>
      </c>
      <c r="D388" t="inlineStr">
        <is>
          <t>materiel</t>
        </is>
      </c>
      <c r="E388" t="inlineStr">
        <is>
          <t>crédit-bail</t>
        </is>
      </c>
      <c r="F388" t="inlineStr">
        <is>
          <t>2024-07-22</t>
        </is>
      </c>
      <c r="G388" s="4" t="n">
        <v>100863.7</v>
      </c>
      <c r="H388" s="4">
        <f>MAX(0,G388-SUMIFS('Paiements contrat'!$B:$B,'Paiements contrat'!$A:$A,A388))</f>
        <v/>
      </c>
      <c r="I388" s="4" t="n">
        <v>50368.61</v>
      </c>
      <c r="J388" t="inlineStr">
        <is>
          <t>actif</t>
        </is>
      </c>
    </row>
    <row r="389">
      <c r="A389" t="inlineStr">
        <is>
          <t>CTR-00393</t>
        </is>
      </c>
      <c r="B389" t="inlineStr">
        <is>
          <t>CLI-00756</t>
        </is>
      </c>
      <c r="C389" t="inlineStr">
        <is>
          <t>Île-de-France</t>
        </is>
      </c>
      <c r="D389" t="inlineStr">
        <is>
          <t>bateau</t>
        </is>
      </c>
      <c r="E389" t="inlineStr">
        <is>
          <t>LOA</t>
        </is>
      </c>
      <c r="F389" t="inlineStr">
        <is>
          <t>2025-01-23</t>
        </is>
      </c>
      <c r="G389" s="4" t="n">
        <v>69119.64999999999</v>
      </c>
      <c r="H389" s="4">
        <f>MAX(0,G389-SUMIFS('Paiements contrat'!$B:$B,'Paiements contrat'!$A:$A,A389))</f>
        <v/>
      </c>
      <c r="I389" s="4" t="n">
        <v>30268.70999999999</v>
      </c>
      <c r="J389" t="inlineStr">
        <is>
          <t>actif</t>
        </is>
      </c>
    </row>
    <row r="390">
      <c r="A390" t="inlineStr">
        <is>
          <t>CTR-00394</t>
        </is>
      </c>
      <c r="B390" t="inlineStr">
        <is>
          <t>CLI-01161</t>
        </is>
      </c>
      <c r="C390" t="inlineStr">
        <is>
          <t>Île-de-France</t>
        </is>
      </c>
      <c r="D390" t="inlineStr">
        <is>
          <t>materiel</t>
        </is>
      </c>
      <c r="E390" t="inlineStr">
        <is>
          <t>crédit-bail</t>
        </is>
      </c>
      <c r="F390" t="inlineStr">
        <is>
          <t>2025-01-27</t>
        </is>
      </c>
      <c r="G390" s="4" t="n">
        <v>56340.38</v>
      </c>
      <c r="H390" s="4">
        <f>MAX(0,G390-SUMIFS('Paiements contrat'!$B:$B,'Paiements contrat'!$A:$A,A390))</f>
        <v/>
      </c>
      <c r="I390" s="4" t="n">
        <v>43381.42999999999</v>
      </c>
      <c r="J390" t="inlineStr">
        <is>
          <t>actif</t>
        </is>
      </c>
    </row>
    <row r="391">
      <c r="A391" t="inlineStr">
        <is>
          <t>CTR-00395</t>
        </is>
      </c>
      <c r="B391" t="inlineStr">
        <is>
          <t>CLI-00934</t>
        </is>
      </c>
      <c r="C391" t="inlineStr">
        <is>
          <t>Île-de-France</t>
        </is>
      </c>
      <c r="D391" t="inlineStr">
        <is>
          <t>auto</t>
        </is>
      </c>
      <c r="E391" t="inlineStr">
        <is>
          <t>LLD</t>
        </is>
      </c>
      <c r="F391" t="inlineStr">
        <is>
          <t>2024-05-07</t>
        </is>
      </c>
      <c r="G391" s="4" t="n">
        <v>24532.35</v>
      </c>
      <c r="H391" s="4">
        <f>MAX(0,G391-SUMIFS('Paiements contrat'!$B:$B,'Paiements contrat'!$A:$A,A391))</f>
        <v/>
      </c>
      <c r="I391" s="4" t="n">
        <v>1412.609999999997</v>
      </c>
      <c r="J391" t="inlineStr">
        <is>
          <t>soldé</t>
        </is>
      </c>
    </row>
    <row r="392">
      <c r="A392" t="inlineStr">
        <is>
          <t>CTR-00396</t>
        </is>
      </c>
      <c r="B392" t="inlineStr">
        <is>
          <t>CLI-00864</t>
        </is>
      </c>
      <c r="C392" t="inlineStr">
        <is>
          <t>Guyane</t>
        </is>
      </c>
      <c r="D392" t="inlineStr">
        <is>
          <t>materiel</t>
        </is>
      </c>
      <c r="E392" t="inlineStr">
        <is>
          <t>crédit-bail</t>
        </is>
      </c>
      <c r="F392" t="inlineStr">
        <is>
          <t>2025-01-10</t>
        </is>
      </c>
      <c r="G392" s="4" t="n">
        <v>68452.92</v>
      </c>
      <c r="H392" s="4">
        <f>MAX(0,G392-SUMIFS('Paiements contrat'!$B:$B,'Paiements contrat'!$A:$A,A392))</f>
        <v/>
      </c>
      <c r="I392" s="4" t="n">
        <v>31950.39</v>
      </c>
      <c r="J392" t="inlineStr">
        <is>
          <t>actif</t>
        </is>
      </c>
    </row>
    <row r="393">
      <c r="A393" t="inlineStr">
        <is>
          <t>CTR-00397</t>
        </is>
      </c>
      <c r="B393" t="inlineStr">
        <is>
          <t>CLI-00856</t>
        </is>
      </c>
      <c r="C393" t="inlineStr">
        <is>
          <t>Île-de-France</t>
        </is>
      </c>
      <c r="D393" t="inlineStr">
        <is>
          <t>auto</t>
        </is>
      </c>
      <c r="E393" t="inlineStr">
        <is>
          <t>LOA</t>
        </is>
      </c>
      <c r="F393" t="inlineStr">
        <is>
          <t>2024-11-13</t>
        </is>
      </c>
      <c r="G393" s="4" t="n">
        <v>56332.28</v>
      </c>
      <c r="H393" s="4">
        <f>MAX(0,G393-SUMIFS('Paiements contrat'!$B:$B,'Paiements contrat'!$A:$A,A393))</f>
        <v/>
      </c>
      <c r="I393" s="4" t="n">
        <v>33342.40436031792</v>
      </c>
      <c r="J393" t="inlineStr">
        <is>
          <t>actif</t>
        </is>
      </c>
    </row>
    <row r="394">
      <c r="A394" t="inlineStr">
        <is>
          <t>CTR-00398</t>
        </is>
      </c>
      <c r="B394" t="inlineStr">
        <is>
          <t>CLI-00928</t>
        </is>
      </c>
      <c r="C394" t="inlineStr">
        <is>
          <t>Martinique</t>
        </is>
      </c>
      <c r="D394" t="inlineStr">
        <is>
          <t>materiel</t>
        </is>
      </c>
      <c r="E394" t="inlineStr">
        <is>
          <t>crédit-bail</t>
        </is>
      </c>
      <c r="F394" t="inlineStr">
        <is>
          <t>2024-09-03</t>
        </is>
      </c>
      <c r="G394" s="4" t="n">
        <v>55110.32</v>
      </c>
      <c r="H394" s="4">
        <f>MAX(0,G394-SUMIFS('Paiements contrat'!$B:$B,'Paiements contrat'!$A:$A,A394))</f>
        <v/>
      </c>
      <c r="I394" s="4" t="n">
        <v>38129.68</v>
      </c>
      <c r="J394" t="inlineStr">
        <is>
          <t>contentieux</t>
        </is>
      </c>
    </row>
    <row r="395">
      <c r="A395" t="inlineStr">
        <is>
          <t>CTR-00400</t>
        </is>
      </c>
      <c r="B395" t="inlineStr">
        <is>
          <t>CLI-00053</t>
        </is>
      </c>
      <c r="C395" t="inlineStr">
        <is>
          <t>Réunion</t>
        </is>
      </c>
      <c r="D395" t="inlineStr">
        <is>
          <t>auto</t>
        </is>
      </c>
      <c r="E395" t="inlineStr">
        <is>
          <t>LOA</t>
        </is>
      </c>
      <c r="F395" t="inlineStr">
        <is>
          <t>2025-11-12</t>
        </is>
      </c>
      <c r="G395" s="4" t="n">
        <v>45354.54</v>
      </c>
      <c r="H395" s="4">
        <f>MAX(0,G395-SUMIFS('Paiements contrat'!$B:$B,'Paiements contrat'!$A:$A,A395))</f>
        <v/>
      </c>
      <c r="I395" s="4" t="n">
        <v>38937.0666904782</v>
      </c>
      <c r="J395" t="inlineStr">
        <is>
          <t>actif</t>
        </is>
      </c>
    </row>
    <row r="396">
      <c r="A396" t="inlineStr">
        <is>
          <t>CTR-00401</t>
        </is>
      </c>
      <c r="B396" t="inlineStr">
        <is>
          <t>CLI-01195</t>
        </is>
      </c>
      <c r="C396" t="inlineStr">
        <is>
          <t>Île-de-France</t>
        </is>
      </c>
      <c r="D396" t="inlineStr">
        <is>
          <t>auto</t>
        </is>
      </c>
      <c r="E396" t="inlineStr">
        <is>
          <t>LLD</t>
        </is>
      </c>
      <c r="F396" t="inlineStr">
        <is>
          <t>2024-04-21</t>
        </is>
      </c>
      <c r="G396" s="4" t="n">
        <v>52339.09</v>
      </c>
      <c r="H396" s="4">
        <f>MAX(0,G396-SUMIFS('Paiements contrat'!$B:$B,'Paiements contrat'!$A:$A,A396))</f>
        <v/>
      </c>
      <c r="I396" s="4" t="n">
        <v>25097.53728869402</v>
      </c>
      <c r="J396" t="inlineStr">
        <is>
          <t>actif</t>
        </is>
      </c>
    </row>
    <row r="397">
      <c r="A397" t="inlineStr">
        <is>
          <t>CTR-00402</t>
        </is>
      </c>
      <c r="B397" t="inlineStr">
        <is>
          <t>CLI-01322</t>
        </is>
      </c>
      <c r="C397" t="inlineStr">
        <is>
          <t>Île-de-France</t>
        </is>
      </c>
      <c r="D397" t="inlineStr">
        <is>
          <t>auto</t>
        </is>
      </c>
      <c r="E397" t="inlineStr">
        <is>
          <t>LLD</t>
        </is>
      </c>
      <c r="F397" t="inlineStr">
        <is>
          <t>2025-06-20</t>
        </is>
      </c>
      <c r="G397" s="4" t="n">
        <v>41920.1</v>
      </c>
      <c r="H397" s="4">
        <f>MAX(0,G397-SUMIFS('Paiements contrat'!$B:$B,'Paiements contrat'!$A:$A,A397))</f>
        <v/>
      </c>
      <c r="I397" s="4" t="n">
        <v>35334.46</v>
      </c>
      <c r="J397" t="inlineStr">
        <is>
          <t>actif</t>
        </is>
      </c>
    </row>
    <row r="398">
      <c r="A398" t="inlineStr">
        <is>
          <t>CTR-00404</t>
        </is>
      </c>
      <c r="B398" t="inlineStr">
        <is>
          <t>CLI-00966</t>
        </is>
      </c>
      <c r="C398" t="inlineStr">
        <is>
          <t>Île-de-France</t>
        </is>
      </c>
      <c r="D398" t="inlineStr">
        <is>
          <t>bateau</t>
        </is>
      </c>
      <c r="E398" t="inlineStr">
        <is>
          <t>LOA</t>
        </is>
      </c>
      <c r="F398" t="inlineStr">
        <is>
          <t>2024-06-27</t>
        </is>
      </c>
      <c r="G398" s="4" t="n">
        <v>80162.25</v>
      </c>
      <c r="H398" s="4">
        <f>MAX(0,G398-SUMIFS('Paiements contrat'!$B:$B,'Paiements contrat'!$A:$A,A398))</f>
        <v/>
      </c>
      <c r="I398" s="4" t="n">
        <v>25475.67</v>
      </c>
      <c r="J398" t="inlineStr">
        <is>
          <t>actif</t>
        </is>
      </c>
    </row>
    <row r="399">
      <c r="A399" t="inlineStr">
        <is>
          <t>CTR-00405</t>
        </is>
      </c>
      <c r="B399" t="inlineStr">
        <is>
          <t>CLI-00347</t>
        </is>
      </c>
      <c r="C399" t="inlineStr">
        <is>
          <t>Île-de-France</t>
        </is>
      </c>
      <c r="D399" t="inlineStr">
        <is>
          <t>materiel</t>
        </is>
      </c>
      <c r="E399" t="inlineStr">
        <is>
          <t>crédit-bail</t>
        </is>
      </c>
      <c r="F399" t="inlineStr">
        <is>
          <t>2024-04-03</t>
        </is>
      </c>
      <c r="G399" s="4" t="n">
        <v>66404.91</v>
      </c>
      <c r="H399" s="4">
        <f>MAX(0,G399-SUMIFS('Paiements contrat'!$B:$B,'Paiements contrat'!$A:$A,A399))</f>
        <v/>
      </c>
      <c r="I399" s="4" t="n">
        <v>5688.620000000003</v>
      </c>
      <c r="J399" t="inlineStr">
        <is>
          <t>soldé</t>
        </is>
      </c>
    </row>
    <row r="400">
      <c r="A400" t="inlineStr">
        <is>
          <t>CTR-00406</t>
        </is>
      </c>
      <c r="B400" t="inlineStr">
        <is>
          <t>CLI-00996</t>
        </is>
      </c>
      <c r="C400" t="inlineStr">
        <is>
          <t>Île-de-France</t>
        </is>
      </c>
      <c r="D400" t="inlineStr">
        <is>
          <t>materiel</t>
        </is>
      </c>
      <c r="E400" t="inlineStr">
        <is>
          <t>crédit-bail</t>
        </is>
      </c>
      <c r="F400" t="inlineStr">
        <is>
          <t>2024-06-05</t>
        </is>
      </c>
      <c r="G400" s="4" t="n">
        <v>90815.03999999999</v>
      </c>
      <c r="H400" s="4">
        <f>MAX(0,G400-SUMIFS('Paiements contrat'!$B:$B,'Paiements contrat'!$A:$A,A400))</f>
        <v/>
      </c>
      <c r="I400" s="4" t="n">
        <v>65619.01999999999</v>
      </c>
      <c r="J400" t="inlineStr">
        <is>
          <t>actif</t>
        </is>
      </c>
    </row>
    <row r="401">
      <c r="A401" t="inlineStr">
        <is>
          <t>CTR-00407</t>
        </is>
      </c>
      <c r="B401" t="inlineStr">
        <is>
          <t>CLI-01495</t>
        </is>
      </c>
      <c r="C401" t="inlineStr">
        <is>
          <t>Île-de-France</t>
        </is>
      </c>
      <c r="D401" t="inlineStr">
        <is>
          <t>materiel</t>
        </is>
      </c>
      <c r="E401" t="inlineStr">
        <is>
          <t>crédit-bail</t>
        </is>
      </c>
      <c r="F401" t="inlineStr">
        <is>
          <t>2025-11-13</t>
        </is>
      </c>
      <c r="G401" s="4" t="n">
        <v>118062.7</v>
      </c>
      <c r="H401" s="4">
        <f>MAX(0,G401-SUMIFS('Paiements contrat'!$B:$B,'Paiements contrat'!$A:$A,A401))</f>
        <v/>
      </c>
      <c r="I401" s="4" t="n">
        <v>103098.97</v>
      </c>
      <c r="J401" t="inlineStr">
        <is>
          <t>actif</t>
        </is>
      </c>
    </row>
    <row r="402">
      <c r="A402" t="inlineStr">
        <is>
          <t>CTR-00408</t>
        </is>
      </c>
      <c r="B402" t="inlineStr">
        <is>
          <t>CLI-01079</t>
        </is>
      </c>
      <c r="C402" t="inlineStr">
        <is>
          <t>Île-de-France</t>
        </is>
      </c>
      <c r="D402" t="inlineStr">
        <is>
          <t>auto</t>
        </is>
      </c>
      <c r="E402" t="inlineStr">
        <is>
          <t>LOA</t>
        </is>
      </c>
      <c r="F402" t="inlineStr">
        <is>
          <t>2025-04-18</t>
        </is>
      </c>
      <c r="G402" s="4" t="n">
        <v>66544.67999999999</v>
      </c>
      <c r="H402" s="4">
        <f>MAX(0,G402-SUMIFS('Paiements contrat'!$B:$B,'Paiements contrat'!$A:$A,A402))</f>
        <v/>
      </c>
      <c r="I402" s="4" t="n">
        <v>47292.39999999999</v>
      </c>
      <c r="J402" t="inlineStr">
        <is>
          <t>actif</t>
        </is>
      </c>
    </row>
    <row r="403">
      <c r="A403" t="inlineStr">
        <is>
          <t>CTR-00409</t>
        </is>
      </c>
      <c r="B403" t="inlineStr">
        <is>
          <t>CLI-00475</t>
        </is>
      </c>
      <c r="C403" t="inlineStr">
        <is>
          <t>Île-de-France</t>
        </is>
      </c>
      <c r="D403" t="inlineStr">
        <is>
          <t>auto</t>
        </is>
      </c>
      <c r="E403" t="inlineStr">
        <is>
          <t>LLD</t>
        </is>
      </c>
      <c r="F403" t="inlineStr">
        <is>
          <t>2025-07-27</t>
        </is>
      </c>
      <c r="G403" s="4" t="n">
        <v>34132.5</v>
      </c>
      <c r="H403" s="4">
        <f>MAX(0,G403-SUMIFS('Paiements contrat'!$B:$B,'Paiements contrat'!$A:$A,A403))</f>
        <v/>
      </c>
      <c r="I403" s="4" t="n">
        <v>27243.78</v>
      </c>
      <c r="J403" t="inlineStr">
        <is>
          <t>actif</t>
        </is>
      </c>
    </row>
    <row r="404">
      <c r="A404" t="inlineStr">
        <is>
          <t>CTR-00410</t>
        </is>
      </c>
      <c r="B404" t="inlineStr">
        <is>
          <t>CLI-01143</t>
        </is>
      </c>
      <c r="C404" t="inlineStr">
        <is>
          <t>Guadeloupe</t>
        </is>
      </c>
      <c r="D404" t="inlineStr">
        <is>
          <t>auto</t>
        </is>
      </c>
      <c r="E404" t="inlineStr">
        <is>
          <t>LLD</t>
        </is>
      </c>
      <c r="F404" t="inlineStr">
        <is>
          <t>2024-07-26</t>
        </is>
      </c>
      <c r="G404" s="4" t="n">
        <v>13092.32</v>
      </c>
      <c r="H404" s="4">
        <f>MAX(0,G404-SUMIFS('Paiements contrat'!$B:$B,'Paiements contrat'!$A:$A,A404))</f>
        <v/>
      </c>
      <c r="I404" s="4" t="n">
        <v>8251.665442026806</v>
      </c>
      <c r="J404" t="inlineStr">
        <is>
          <t>actif</t>
        </is>
      </c>
    </row>
    <row r="405">
      <c r="A405" t="inlineStr">
        <is>
          <t>CTR-00411</t>
        </is>
      </c>
      <c r="B405" t="inlineStr">
        <is>
          <t>CLI-01216</t>
        </is>
      </c>
      <c r="C405" t="inlineStr">
        <is>
          <t>Réunion</t>
        </is>
      </c>
      <c r="D405" t="inlineStr">
        <is>
          <t>auto</t>
        </is>
      </c>
      <c r="E405" t="inlineStr">
        <is>
          <t>LOA</t>
        </is>
      </c>
      <c r="F405" t="inlineStr">
        <is>
          <t>2025-11-02</t>
        </is>
      </c>
      <c r="G405" s="4" t="n">
        <v>69276.10000000001</v>
      </c>
      <c r="H405" s="4">
        <f>MAX(0,G405-SUMIFS('Paiements contrat'!$B:$B,'Paiements contrat'!$A:$A,A405))</f>
        <v/>
      </c>
      <c r="I405" s="4" t="n">
        <v>62446.02</v>
      </c>
      <c r="J405" t="inlineStr">
        <is>
          <t>actif</t>
        </is>
      </c>
    </row>
    <row r="406">
      <c r="A406" t="inlineStr">
        <is>
          <t>CTR-00412</t>
        </is>
      </c>
      <c r="B406" t="inlineStr">
        <is>
          <t>CLI-00547</t>
        </is>
      </c>
      <c r="C406" t="inlineStr">
        <is>
          <t>Île-de-France</t>
        </is>
      </c>
      <c r="D406" t="inlineStr">
        <is>
          <t>auto</t>
        </is>
      </c>
      <c r="E406" t="inlineStr">
        <is>
          <t>LLD</t>
        </is>
      </c>
      <c r="F406" t="inlineStr">
        <is>
          <t>2025-05-16</t>
        </is>
      </c>
      <c r="G406" s="4" t="n">
        <v>30033.05</v>
      </c>
      <c r="H406" s="4">
        <f>MAX(0,G406-SUMIFS('Paiements contrat'!$B:$B,'Paiements contrat'!$A:$A,A406))</f>
        <v/>
      </c>
      <c r="I406" s="4" t="n">
        <v>25810.34</v>
      </c>
      <c r="J406" t="inlineStr">
        <is>
          <t>actif</t>
        </is>
      </c>
    </row>
    <row r="407">
      <c r="A407" t="inlineStr">
        <is>
          <t>CTR-00413</t>
        </is>
      </c>
      <c r="B407" t="inlineStr">
        <is>
          <t>CLI-01324</t>
        </is>
      </c>
      <c r="C407" t="inlineStr">
        <is>
          <t>Île-de-France</t>
        </is>
      </c>
      <c r="D407" t="inlineStr">
        <is>
          <t>materiel</t>
        </is>
      </c>
      <c r="E407" t="inlineStr">
        <is>
          <t>crédit-bail</t>
        </is>
      </c>
      <c r="F407" t="inlineStr">
        <is>
          <t>2025-12-25</t>
        </is>
      </c>
      <c r="G407" s="4" t="n">
        <v>158718.53</v>
      </c>
      <c r="H407" s="4">
        <f>MAX(0,G407-SUMIFS('Paiements contrat'!$B:$B,'Paiements contrat'!$A:$A,A407))</f>
        <v/>
      </c>
      <c r="I407" s="4" t="n">
        <v>146238.82</v>
      </c>
      <c r="J407" t="inlineStr">
        <is>
          <t>actif</t>
        </is>
      </c>
    </row>
    <row r="408">
      <c r="A408" t="inlineStr">
        <is>
          <t>CTR-00414</t>
        </is>
      </c>
      <c r="B408" t="inlineStr">
        <is>
          <t>CLI-01050</t>
        </is>
      </c>
      <c r="C408" t="inlineStr">
        <is>
          <t>Guyane</t>
        </is>
      </c>
      <c r="D408" t="inlineStr">
        <is>
          <t>auto</t>
        </is>
      </c>
      <c r="E408" t="inlineStr">
        <is>
          <t>LLD</t>
        </is>
      </c>
      <c r="F408" t="inlineStr">
        <is>
          <t>2025-05-12</t>
        </is>
      </c>
      <c r="G408" s="4" t="n">
        <v>25773.34</v>
      </c>
      <c r="H408" s="4">
        <f>MAX(0,G408-SUMIFS('Paiements contrat'!$B:$B,'Paiements contrat'!$A:$A,A408))</f>
        <v/>
      </c>
      <c r="I408" s="4" t="n">
        <v>19760.27</v>
      </c>
      <c r="J408" t="inlineStr">
        <is>
          <t>actif</t>
        </is>
      </c>
    </row>
    <row r="409">
      <c r="A409" t="inlineStr">
        <is>
          <t>CTR-00415</t>
        </is>
      </c>
      <c r="B409" t="inlineStr">
        <is>
          <t>CLI-00410</t>
        </is>
      </c>
      <c r="C409" t="inlineStr">
        <is>
          <t>Île-de-France</t>
        </is>
      </c>
      <c r="D409" t="inlineStr">
        <is>
          <t>materiel</t>
        </is>
      </c>
      <c r="E409" t="inlineStr">
        <is>
          <t>crédit-bail</t>
        </is>
      </c>
      <c r="F409" t="inlineStr">
        <is>
          <t>2025-05-22</t>
        </is>
      </c>
      <c r="G409" s="4" t="n">
        <v>64545.33</v>
      </c>
      <c r="H409" s="4">
        <f>MAX(0,G409-SUMIFS('Paiements contrat'!$B:$B,'Paiements contrat'!$A:$A,A409))</f>
        <v/>
      </c>
      <c r="I409" s="4" t="n">
        <v>41416.03463526767</v>
      </c>
      <c r="J409" t="inlineStr">
        <is>
          <t>actif</t>
        </is>
      </c>
    </row>
    <row r="410">
      <c r="A410" t="inlineStr">
        <is>
          <t>CTR-00416</t>
        </is>
      </c>
      <c r="B410" t="inlineStr">
        <is>
          <t>CLI-00923</t>
        </is>
      </c>
      <c r="C410" t="inlineStr">
        <is>
          <t>Île-de-France</t>
        </is>
      </c>
      <c r="D410" t="inlineStr">
        <is>
          <t>auto</t>
        </is>
      </c>
      <c r="E410" t="inlineStr">
        <is>
          <t>LLD</t>
        </is>
      </c>
      <c r="F410" t="inlineStr">
        <is>
          <t>2025-05-23</t>
        </is>
      </c>
      <c r="G410" s="4" t="n">
        <v>65309.95</v>
      </c>
      <c r="H410" s="4">
        <f>MAX(0,G410-SUMIFS('Paiements contrat'!$B:$B,'Paiements contrat'!$A:$A,A410))</f>
        <v/>
      </c>
      <c r="I410" s="4" t="n">
        <v>41326.11</v>
      </c>
      <c r="J410" t="inlineStr">
        <is>
          <t>actif</t>
        </is>
      </c>
    </row>
    <row r="411">
      <c r="A411" t="inlineStr">
        <is>
          <t>CTR-00417</t>
        </is>
      </c>
      <c r="B411" t="inlineStr">
        <is>
          <t>CLI-00479</t>
        </is>
      </c>
      <c r="C411" t="inlineStr">
        <is>
          <t>Île-de-France</t>
        </is>
      </c>
      <c r="D411" t="inlineStr">
        <is>
          <t>materiel</t>
        </is>
      </c>
      <c r="E411" t="inlineStr">
        <is>
          <t>crédit-bail</t>
        </is>
      </c>
      <c r="F411" t="inlineStr">
        <is>
          <t>2025-12-11</t>
        </is>
      </c>
      <c r="G411" s="4" t="n">
        <v>119248.48</v>
      </c>
      <c r="H411" s="4">
        <f>MAX(0,G411-SUMIFS('Paiements contrat'!$B:$B,'Paiements contrat'!$A:$A,A411))</f>
        <v/>
      </c>
      <c r="I411" s="4" t="n">
        <v>109917.22</v>
      </c>
      <c r="J411" t="inlineStr">
        <is>
          <t>actif</t>
        </is>
      </c>
    </row>
    <row r="412">
      <c r="A412" t="inlineStr">
        <is>
          <t>CTR-00418</t>
        </is>
      </c>
      <c r="B412" t="inlineStr">
        <is>
          <t>CLI-00696</t>
        </is>
      </c>
      <c r="C412" t="inlineStr">
        <is>
          <t>Île-de-France</t>
        </is>
      </c>
      <c r="D412" t="inlineStr">
        <is>
          <t>auto</t>
        </is>
      </c>
      <c r="E412" t="inlineStr">
        <is>
          <t>LOA</t>
        </is>
      </c>
      <c r="F412" t="inlineStr">
        <is>
          <t>2025-06-06</t>
        </is>
      </c>
      <c r="G412" s="4" t="n">
        <v>70168.19</v>
      </c>
      <c r="H412" s="4">
        <f>MAX(0,G412-SUMIFS('Paiements contrat'!$B:$B,'Paiements contrat'!$A:$A,A412))</f>
        <v/>
      </c>
      <c r="I412" s="4" t="n">
        <v>47886.71000000001</v>
      </c>
      <c r="J412" t="inlineStr">
        <is>
          <t>actif</t>
        </is>
      </c>
    </row>
    <row r="413">
      <c r="A413" t="inlineStr">
        <is>
          <t>CTR-00419</t>
        </is>
      </c>
      <c r="B413" t="inlineStr">
        <is>
          <t>CLI-01168</t>
        </is>
      </c>
      <c r="C413" t="inlineStr">
        <is>
          <t>Guadeloupe</t>
        </is>
      </c>
      <c r="D413" t="inlineStr">
        <is>
          <t>materiel</t>
        </is>
      </c>
      <c r="E413" t="inlineStr">
        <is>
          <t>crédit-bail</t>
        </is>
      </c>
      <c r="F413" t="inlineStr">
        <is>
          <t>2024-06-10</t>
        </is>
      </c>
      <c r="G413" s="4" t="n">
        <v>46233.37</v>
      </c>
      <c r="H413" s="4">
        <f>MAX(0,G413-SUMIFS('Paiements contrat'!$B:$B,'Paiements contrat'!$A:$A,A413))</f>
        <v/>
      </c>
      <c r="I413" s="4" t="n">
        <v>20283.8</v>
      </c>
      <c r="J413" t="inlineStr">
        <is>
          <t>actif</t>
        </is>
      </c>
    </row>
    <row r="414">
      <c r="A414" t="inlineStr">
        <is>
          <t>CTR-00420</t>
        </is>
      </c>
      <c r="B414" t="inlineStr">
        <is>
          <t>CLI-00308</t>
        </is>
      </c>
      <c r="C414" t="inlineStr">
        <is>
          <t>Île-de-France</t>
        </is>
      </c>
      <c r="D414" t="inlineStr">
        <is>
          <t>materiel</t>
        </is>
      </c>
      <c r="E414" t="inlineStr">
        <is>
          <t>crédit-bail</t>
        </is>
      </c>
      <c r="F414" t="inlineStr">
        <is>
          <t>2024-11-17</t>
        </is>
      </c>
      <c r="G414" s="4" t="n">
        <v>105497.53</v>
      </c>
      <c r="H414" s="4">
        <f>MAX(0,G414-SUMIFS('Paiements contrat'!$B:$B,'Paiements contrat'!$A:$A,A414))</f>
        <v/>
      </c>
      <c r="I414" s="4" t="n">
        <v>6317.832106135786</v>
      </c>
      <c r="J414" t="inlineStr">
        <is>
          <t>soldé</t>
        </is>
      </c>
    </row>
    <row r="415">
      <c r="A415" t="inlineStr">
        <is>
          <t>CTR-00421</t>
        </is>
      </c>
      <c r="B415" t="inlineStr">
        <is>
          <t>CLI-00834</t>
        </is>
      </c>
      <c r="C415" t="inlineStr">
        <is>
          <t>Île-de-France</t>
        </is>
      </c>
      <c r="D415" t="inlineStr">
        <is>
          <t>materiel</t>
        </is>
      </c>
      <c r="E415" t="inlineStr">
        <is>
          <t>crédit-bail</t>
        </is>
      </c>
      <c r="F415" t="inlineStr">
        <is>
          <t>2026-02-09</t>
        </is>
      </c>
      <c r="G415" s="4" t="n">
        <v>117512.74</v>
      </c>
      <c r="H415" s="4">
        <f>MAX(0,G415-SUMIFS('Paiements contrat'!$B:$B,'Paiements contrat'!$A:$A,A415))</f>
        <v/>
      </c>
      <c r="I415" s="4" t="n">
        <v>116438.6792770921</v>
      </c>
      <c r="J415" t="inlineStr">
        <is>
          <t>actif</t>
        </is>
      </c>
    </row>
    <row r="416">
      <c r="A416" t="inlineStr">
        <is>
          <t>CTR-00422</t>
        </is>
      </c>
      <c r="B416" t="inlineStr">
        <is>
          <t>CLI-00793</t>
        </is>
      </c>
      <c r="C416" t="inlineStr">
        <is>
          <t>Île-de-France</t>
        </is>
      </c>
      <c r="D416" t="inlineStr">
        <is>
          <t>auto</t>
        </is>
      </c>
      <c r="E416" t="inlineStr">
        <is>
          <t>LOA</t>
        </is>
      </c>
      <c r="F416" t="inlineStr">
        <is>
          <t>2025-11-22</t>
        </is>
      </c>
      <c r="G416" s="4" t="n">
        <v>31113.07</v>
      </c>
      <c r="H416" s="4">
        <f>MAX(0,G416-SUMIFS('Paiements contrat'!$B:$B,'Paiements contrat'!$A:$A,A416))</f>
        <v/>
      </c>
      <c r="I416" s="4" t="n">
        <v>28841.51</v>
      </c>
      <c r="J416" t="inlineStr">
        <is>
          <t>actif</t>
        </is>
      </c>
    </row>
    <row r="417">
      <c r="A417" t="inlineStr">
        <is>
          <t>CTR-00423</t>
        </is>
      </c>
      <c r="B417" t="inlineStr">
        <is>
          <t>CLI-01309</t>
        </is>
      </c>
      <c r="C417" t="inlineStr">
        <is>
          <t>Guadeloupe</t>
        </is>
      </c>
      <c r="D417" t="inlineStr">
        <is>
          <t>materiel</t>
        </is>
      </c>
      <c r="E417" t="inlineStr">
        <is>
          <t>crédit-bail</t>
        </is>
      </c>
      <c r="F417" t="inlineStr">
        <is>
          <t>2025-12-24</t>
        </is>
      </c>
      <c r="G417" s="4" t="n">
        <v>65032.27</v>
      </c>
      <c r="H417" s="4">
        <f>MAX(0,G417-SUMIFS('Paiements contrat'!$B:$B,'Paiements contrat'!$A:$A,A417))</f>
        <v/>
      </c>
      <c r="I417" s="4" t="n">
        <v>62033.81</v>
      </c>
      <c r="J417" t="inlineStr">
        <is>
          <t>actif</t>
        </is>
      </c>
    </row>
    <row r="418">
      <c r="A418" t="inlineStr">
        <is>
          <t>CTR-00424</t>
        </is>
      </c>
      <c r="B418" t="inlineStr">
        <is>
          <t>CLI-00167</t>
        </is>
      </c>
      <c r="C418" t="inlineStr">
        <is>
          <t>Île-de-France</t>
        </is>
      </c>
      <c r="D418" t="inlineStr">
        <is>
          <t>auto</t>
        </is>
      </c>
      <c r="E418" t="inlineStr">
        <is>
          <t>LOA</t>
        </is>
      </c>
      <c r="F418" t="inlineStr">
        <is>
          <t>2024-08-13</t>
        </is>
      </c>
      <c r="G418" s="4" t="n">
        <v>72692.94</v>
      </c>
      <c r="H418" s="4">
        <f>MAX(0,G418-SUMIFS('Paiements contrat'!$B:$B,'Paiements contrat'!$A:$A,A418))</f>
        <v/>
      </c>
      <c r="I418" s="4" t="n">
        <v>21765.36</v>
      </c>
      <c r="J418" t="inlineStr">
        <is>
          <t>contentieux</t>
        </is>
      </c>
    </row>
    <row r="419">
      <c r="A419" t="inlineStr">
        <is>
          <t>CTR-00425</t>
        </is>
      </c>
      <c r="B419" t="inlineStr">
        <is>
          <t>CLI-00437</t>
        </is>
      </c>
      <c r="C419" t="inlineStr">
        <is>
          <t>Martinique</t>
        </is>
      </c>
      <c r="D419" t="inlineStr">
        <is>
          <t>materiel</t>
        </is>
      </c>
      <c r="E419" t="inlineStr">
        <is>
          <t>crédit-bail</t>
        </is>
      </c>
      <c r="F419" t="inlineStr">
        <is>
          <t>2024-06-19</t>
        </is>
      </c>
      <c r="G419" s="4" t="n">
        <v>120013.62</v>
      </c>
      <c r="H419" s="4">
        <f>MAX(0,G419-SUMIFS('Paiements contrat'!$B:$B,'Paiements contrat'!$A:$A,A419))</f>
        <v/>
      </c>
      <c r="I419" s="4" t="n">
        <v>61078.63</v>
      </c>
      <c r="J419" t="inlineStr">
        <is>
          <t>actif</t>
        </is>
      </c>
    </row>
    <row r="420">
      <c r="A420" t="inlineStr">
        <is>
          <t>CTR-00426</t>
        </is>
      </c>
      <c r="B420" t="inlineStr">
        <is>
          <t>CLI-00631</t>
        </is>
      </c>
      <c r="C420" t="inlineStr">
        <is>
          <t>Île-de-France</t>
        </is>
      </c>
      <c r="D420" t="inlineStr">
        <is>
          <t>auto</t>
        </is>
      </c>
      <c r="E420" t="inlineStr">
        <is>
          <t>LOA</t>
        </is>
      </c>
      <c r="F420" t="inlineStr">
        <is>
          <t>2025-11-03</t>
        </is>
      </c>
      <c r="G420" s="4" t="n">
        <v>70239.07000000001</v>
      </c>
      <c r="H420" s="4">
        <f>MAX(0,G420-SUMIFS('Paiements contrat'!$B:$B,'Paiements contrat'!$A:$A,A420))</f>
        <v/>
      </c>
      <c r="I420" s="4" t="n">
        <v>53005.38</v>
      </c>
      <c r="J420" t="inlineStr">
        <is>
          <t>actif</t>
        </is>
      </c>
    </row>
    <row r="421">
      <c r="A421" t="inlineStr">
        <is>
          <t>CTR-00427</t>
        </is>
      </c>
      <c r="B421" t="inlineStr">
        <is>
          <t>CLI-01092</t>
        </is>
      </c>
      <c r="C421" t="inlineStr">
        <is>
          <t>Île-de-France</t>
        </is>
      </c>
      <c r="D421" t="inlineStr">
        <is>
          <t>auto</t>
        </is>
      </c>
      <c r="E421" t="inlineStr">
        <is>
          <t>LLD</t>
        </is>
      </c>
      <c r="F421" t="inlineStr">
        <is>
          <t>2024-05-12</t>
        </is>
      </c>
      <c r="G421" s="4" t="n">
        <v>27449.49</v>
      </c>
      <c r="H421" s="4">
        <f>MAX(0,G421-SUMIFS('Paiements contrat'!$B:$B,'Paiements contrat'!$A:$A,A421))</f>
        <v/>
      </c>
      <c r="I421" s="4" t="n">
        <v>4687.93</v>
      </c>
      <c r="J421" t="inlineStr">
        <is>
          <t>actif</t>
        </is>
      </c>
    </row>
    <row r="422">
      <c r="A422" t="inlineStr">
        <is>
          <t>CTR-00428</t>
        </is>
      </c>
      <c r="B422" t="inlineStr">
        <is>
          <t>CLI-00599</t>
        </is>
      </c>
      <c r="C422" t="inlineStr">
        <is>
          <t>Guadeloupe</t>
        </is>
      </c>
      <c r="D422" t="inlineStr">
        <is>
          <t>materiel</t>
        </is>
      </c>
      <c r="E422" t="inlineStr">
        <is>
          <t>crédit-bail</t>
        </is>
      </c>
      <c r="F422" t="inlineStr">
        <is>
          <t>2024-10-11</t>
        </is>
      </c>
      <c r="G422" s="4" t="n">
        <v>116358.43</v>
      </c>
      <c r="H422" s="4">
        <f>MAX(0,G422-SUMIFS('Paiements contrat'!$B:$B,'Paiements contrat'!$A:$A,A422))</f>
        <v/>
      </c>
      <c r="I422" s="4" t="n">
        <v>82580.37999999999</v>
      </c>
      <c r="J422" t="inlineStr">
        <is>
          <t>actif</t>
        </is>
      </c>
    </row>
    <row r="423">
      <c r="A423" t="inlineStr">
        <is>
          <t>CTR-00429</t>
        </is>
      </c>
      <c r="B423" t="inlineStr">
        <is>
          <t>CLI-00772</t>
        </is>
      </c>
      <c r="C423" t="inlineStr">
        <is>
          <t>Île-de-France</t>
        </is>
      </c>
      <c r="D423" t="inlineStr">
        <is>
          <t>auto</t>
        </is>
      </c>
      <c r="E423" t="inlineStr">
        <is>
          <t>LLD</t>
        </is>
      </c>
      <c r="F423" t="inlineStr">
        <is>
          <t>2025-03-10</t>
        </is>
      </c>
      <c r="G423" s="4" t="n">
        <v>51984.4</v>
      </c>
      <c r="H423" s="4">
        <f>MAX(0,G423-SUMIFS('Paiements contrat'!$B:$B,'Paiements contrat'!$A:$A,A423))</f>
        <v/>
      </c>
      <c r="I423" s="4" t="n">
        <v>29638.64709930352</v>
      </c>
      <c r="J423" t="inlineStr">
        <is>
          <t>actif</t>
        </is>
      </c>
    </row>
    <row r="424">
      <c r="A424" t="inlineStr">
        <is>
          <t>CTR-00430</t>
        </is>
      </c>
      <c r="B424" t="inlineStr">
        <is>
          <t>CLI-01211</t>
        </is>
      </c>
      <c r="C424" t="inlineStr">
        <is>
          <t>Île-de-France</t>
        </is>
      </c>
      <c r="D424" t="inlineStr">
        <is>
          <t>auto</t>
        </is>
      </c>
      <c r="E424" t="inlineStr">
        <is>
          <t>LOA</t>
        </is>
      </c>
      <c r="F424" t="inlineStr">
        <is>
          <t>2025-12-05</t>
        </is>
      </c>
      <c r="G424" s="4" t="n">
        <v>38585.3</v>
      </c>
      <c r="H424" s="4">
        <f>MAX(0,G424-SUMIFS('Paiements contrat'!$B:$B,'Paiements contrat'!$A:$A,A424))</f>
        <v/>
      </c>
      <c r="I424" s="4" t="n">
        <v>34987.37</v>
      </c>
      <c r="J424" t="inlineStr">
        <is>
          <t>actif</t>
        </is>
      </c>
    </row>
    <row r="425">
      <c r="A425" t="inlineStr">
        <is>
          <t>CTR-00431</t>
        </is>
      </c>
      <c r="B425" t="inlineStr">
        <is>
          <t>CLI-01318</t>
        </is>
      </c>
      <c r="C425" t="inlineStr">
        <is>
          <t>Île-de-France</t>
        </is>
      </c>
      <c r="D425" t="inlineStr">
        <is>
          <t>auto</t>
        </is>
      </c>
      <c r="E425" t="inlineStr">
        <is>
          <t>LOA</t>
        </is>
      </c>
      <c r="F425" t="inlineStr">
        <is>
          <t>2025-03-10</t>
        </is>
      </c>
      <c r="G425" s="4" t="n">
        <v>54203.78</v>
      </c>
      <c r="H425" s="4">
        <f>MAX(0,G425-SUMIFS('Paiements contrat'!$B:$B,'Paiements contrat'!$A:$A,A425))</f>
        <v/>
      </c>
      <c r="I425" s="4" t="n">
        <v>21717.85</v>
      </c>
      <c r="J425" t="inlineStr">
        <is>
          <t>actif</t>
        </is>
      </c>
    </row>
    <row r="426">
      <c r="A426" t="inlineStr">
        <is>
          <t>CTR-00432</t>
        </is>
      </c>
      <c r="B426" t="inlineStr">
        <is>
          <t>CLI-00742</t>
        </is>
      </c>
      <c r="C426" t="inlineStr">
        <is>
          <t>Île-de-France</t>
        </is>
      </c>
      <c r="D426" t="inlineStr">
        <is>
          <t>materiel</t>
        </is>
      </c>
      <c r="E426" t="inlineStr">
        <is>
          <t>crédit-bail</t>
        </is>
      </c>
      <c r="F426" t="inlineStr">
        <is>
          <t>2024-12-06</t>
        </is>
      </c>
      <c r="G426" s="4" t="n">
        <v>189477.21</v>
      </c>
      <c r="H426" s="4">
        <f>MAX(0,G426-SUMIFS('Paiements contrat'!$B:$B,'Paiements contrat'!$A:$A,A426))</f>
        <v/>
      </c>
      <c r="I426" s="4" t="n">
        <v>152595.1664998987</v>
      </c>
      <c r="J426" t="inlineStr">
        <is>
          <t>actif</t>
        </is>
      </c>
    </row>
    <row r="427">
      <c r="A427" t="inlineStr">
        <is>
          <t>CTR-00433</t>
        </is>
      </c>
      <c r="B427" t="inlineStr">
        <is>
          <t>CLI-00843</t>
        </is>
      </c>
      <c r="C427" t="inlineStr">
        <is>
          <t>Île-de-France</t>
        </is>
      </c>
      <c r="D427" t="inlineStr">
        <is>
          <t>auto</t>
        </is>
      </c>
      <c r="E427" t="inlineStr">
        <is>
          <t>LOA</t>
        </is>
      </c>
      <c r="F427" t="inlineStr">
        <is>
          <t>2025-03-15</t>
        </is>
      </c>
      <c r="G427" s="4" t="n">
        <v>54790.22</v>
      </c>
      <c r="H427" s="4">
        <f>MAX(0,G427-SUMIFS('Paiements contrat'!$B:$B,'Paiements contrat'!$A:$A,A427))</f>
        <v/>
      </c>
      <c r="I427" s="4" t="n">
        <v>36950</v>
      </c>
      <c r="J427" t="inlineStr">
        <is>
          <t>actif</t>
        </is>
      </c>
    </row>
    <row r="428">
      <c r="A428" t="inlineStr">
        <is>
          <t>CTR-00434</t>
        </is>
      </c>
      <c r="B428" t="inlineStr">
        <is>
          <t>CLI-01448</t>
        </is>
      </c>
      <c r="C428" t="inlineStr">
        <is>
          <t>Île-de-France</t>
        </is>
      </c>
      <c r="D428" t="inlineStr">
        <is>
          <t>auto</t>
        </is>
      </c>
      <c r="E428" t="inlineStr">
        <is>
          <t>LOA</t>
        </is>
      </c>
      <c r="F428" t="inlineStr">
        <is>
          <t>2025-06-15</t>
        </is>
      </c>
      <c r="G428" s="4" t="n">
        <v>35058.02</v>
      </c>
      <c r="H428" s="4">
        <f>MAX(0,G428-SUMIFS('Paiements contrat'!$B:$B,'Paiements contrat'!$A:$A,A428))</f>
        <v/>
      </c>
      <c r="I428" s="4" t="n">
        <v>27216.36501354988</v>
      </c>
      <c r="J428" t="inlineStr">
        <is>
          <t>contentieux</t>
        </is>
      </c>
    </row>
    <row r="429">
      <c r="A429" t="inlineStr">
        <is>
          <t>CTR-00435</t>
        </is>
      </c>
      <c r="B429" t="inlineStr">
        <is>
          <t>CLI-00209</t>
        </is>
      </c>
      <c r="C429" t="inlineStr">
        <is>
          <t>Île-de-France</t>
        </is>
      </c>
      <c r="D429" t="inlineStr">
        <is>
          <t>materiel</t>
        </is>
      </c>
      <c r="E429" t="inlineStr">
        <is>
          <t>crédit-bail</t>
        </is>
      </c>
      <c r="F429" t="inlineStr">
        <is>
          <t>2025-04-17</t>
        </is>
      </c>
      <c r="G429" s="4" t="n">
        <v>111326.04</v>
      </c>
      <c r="H429" s="4">
        <f>MAX(0,G429-SUMIFS('Paiements contrat'!$B:$B,'Paiements contrat'!$A:$A,A429))</f>
        <v/>
      </c>
      <c r="I429" s="4" t="n">
        <v>76126.03</v>
      </c>
      <c r="J429" t="inlineStr">
        <is>
          <t>actif</t>
        </is>
      </c>
    </row>
    <row r="430">
      <c r="A430" t="inlineStr">
        <is>
          <t>CTR-00436</t>
        </is>
      </c>
      <c r="B430" t="inlineStr">
        <is>
          <t>CLI-00444</t>
        </is>
      </c>
      <c r="C430" t="inlineStr">
        <is>
          <t>Martinique</t>
        </is>
      </c>
      <c r="D430" t="inlineStr">
        <is>
          <t>auto</t>
        </is>
      </c>
      <c r="E430" t="inlineStr">
        <is>
          <t>LOA</t>
        </is>
      </c>
      <c r="F430" t="inlineStr">
        <is>
          <t>2024-09-11</t>
        </is>
      </c>
      <c r="G430" s="4" t="n">
        <v>64994.37</v>
      </c>
      <c r="H430" s="4">
        <f>MAX(0,G430-SUMIFS('Paiements contrat'!$B:$B,'Paiements contrat'!$A:$A,A430))</f>
        <v/>
      </c>
      <c r="I430" s="4" t="n">
        <v>22019.94</v>
      </c>
      <c r="J430" t="inlineStr">
        <is>
          <t>actif</t>
        </is>
      </c>
    </row>
    <row r="431">
      <c r="A431" t="inlineStr">
        <is>
          <t>CTR-00437</t>
        </is>
      </c>
      <c r="B431" t="inlineStr">
        <is>
          <t>CLI-00899</t>
        </is>
      </c>
      <c r="C431" t="inlineStr">
        <is>
          <t>Île-de-France</t>
        </is>
      </c>
      <c r="D431" t="inlineStr">
        <is>
          <t>materiel</t>
        </is>
      </c>
      <c r="E431" t="inlineStr">
        <is>
          <t>crédit-bail</t>
        </is>
      </c>
      <c r="F431" t="inlineStr">
        <is>
          <t>2025-09-19</t>
        </is>
      </c>
      <c r="G431" s="4" t="n">
        <v>29271.36</v>
      </c>
      <c r="H431" s="4">
        <f>MAX(0,G431-SUMIFS('Paiements contrat'!$B:$B,'Paiements contrat'!$A:$A,A431))</f>
        <v/>
      </c>
      <c r="I431" s="4" t="n">
        <v>23435.89</v>
      </c>
      <c r="J431" t="inlineStr">
        <is>
          <t>actif</t>
        </is>
      </c>
    </row>
    <row r="432">
      <c r="A432" t="inlineStr">
        <is>
          <t>CTR-00438</t>
        </is>
      </c>
      <c r="B432" t="inlineStr">
        <is>
          <t>CLI-00406</t>
        </is>
      </c>
      <c r="C432" t="inlineStr">
        <is>
          <t>Île-de-France</t>
        </is>
      </c>
      <c r="D432" t="inlineStr">
        <is>
          <t>auto</t>
        </is>
      </c>
      <c r="E432" t="inlineStr">
        <is>
          <t>LOA</t>
        </is>
      </c>
      <c r="F432" t="inlineStr">
        <is>
          <t>2025-06-01</t>
        </is>
      </c>
      <c r="G432" s="4" t="n">
        <v>37475.74</v>
      </c>
      <c r="H432" s="4">
        <f>MAX(0,G432-SUMIFS('Paiements contrat'!$B:$B,'Paiements contrat'!$A:$A,A432))</f>
        <v/>
      </c>
      <c r="I432" s="4" t="n">
        <v>27708.05</v>
      </c>
      <c r="J432" t="inlineStr">
        <is>
          <t>actif</t>
        </is>
      </c>
    </row>
    <row r="433">
      <c r="A433" t="inlineStr">
        <is>
          <t>CTR-00439</t>
        </is>
      </c>
      <c r="B433" t="inlineStr">
        <is>
          <t>CLI-01048</t>
        </is>
      </c>
      <c r="C433" t="inlineStr">
        <is>
          <t>Martinique</t>
        </is>
      </c>
      <c r="D433" t="inlineStr">
        <is>
          <t>auto</t>
        </is>
      </c>
      <c r="E433" t="inlineStr">
        <is>
          <t>LLD</t>
        </is>
      </c>
      <c r="F433" t="inlineStr">
        <is>
          <t>2024-05-26</t>
        </is>
      </c>
      <c r="G433" s="4" t="n">
        <v>26437.3</v>
      </c>
      <c r="H433" s="4">
        <f>MAX(0,G433-SUMIFS('Paiements contrat'!$B:$B,'Paiements contrat'!$A:$A,A433))</f>
        <v/>
      </c>
      <c r="I433" s="4" t="n">
        <v>6248.074487112401</v>
      </c>
      <c r="J433" t="inlineStr">
        <is>
          <t>actif</t>
        </is>
      </c>
    </row>
    <row r="434">
      <c r="A434" t="inlineStr">
        <is>
          <t>CTR-00440</t>
        </is>
      </c>
      <c r="B434" t="inlineStr">
        <is>
          <t>CLI-00225</t>
        </is>
      </c>
      <c r="C434" t="inlineStr">
        <is>
          <t>Île-de-France</t>
        </is>
      </c>
      <c r="D434" t="inlineStr">
        <is>
          <t>auto</t>
        </is>
      </c>
      <c r="E434" t="inlineStr">
        <is>
          <t>LOA</t>
        </is>
      </c>
      <c r="F434" t="inlineStr">
        <is>
          <t>2024-10-25</t>
        </is>
      </c>
      <c r="G434" s="4" t="n">
        <v>75885.10000000001</v>
      </c>
      <c r="H434" s="4">
        <f>MAX(0,G434-SUMIFS('Paiements contrat'!$B:$B,'Paiements contrat'!$A:$A,A434))</f>
        <v/>
      </c>
      <c r="I434" s="4" t="n">
        <v>25728.80000000001</v>
      </c>
      <c r="J434" t="inlineStr">
        <is>
          <t>actif</t>
        </is>
      </c>
    </row>
    <row r="435">
      <c r="A435" t="inlineStr">
        <is>
          <t>CTR-00441</t>
        </is>
      </c>
      <c r="B435" t="inlineStr">
        <is>
          <t>CLI-01016</t>
        </is>
      </c>
      <c r="C435" t="inlineStr">
        <is>
          <t>Île-de-France</t>
        </is>
      </c>
      <c r="D435" t="inlineStr">
        <is>
          <t>materiel</t>
        </is>
      </c>
      <c r="E435" t="inlineStr">
        <is>
          <t>crédit-bail</t>
        </is>
      </c>
      <c r="F435" t="inlineStr">
        <is>
          <t>2024-05-08</t>
        </is>
      </c>
      <c r="G435" s="4" t="n">
        <v>138250.63</v>
      </c>
      <c r="H435" s="4">
        <f>MAX(0,G435-SUMIFS('Paiements contrat'!$B:$B,'Paiements contrat'!$A:$A,A435))</f>
        <v/>
      </c>
      <c r="I435" s="4" t="n">
        <v>42860.57000000001</v>
      </c>
      <c r="J435" t="inlineStr">
        <is>
          <t>actif</t>
        </is>
      </c>
    </row>
    <row r="436">
      <c r="A436" t="inlineStr">
        <is>
          <t>CTR-00442</t>
        </is>
      </c>
      <c r="B436" t="inlineStr">
        <is>
          <t>CLI-01471</t>
        </is>
      </c>
      <c r="C436" t="inlineStr">
        <is>
          <t>Guyane</t>
        </is>
      </c>
      <c r="D436" t="inlineStr">
        <is>
          <t>auto</t>
        </is>
      </c>
      <c r="E436" t="inlineStr">
        <is>
          <t>LLD</t>
        </is>
      </c>
      <c r="F436" t="inlineStr">
        <is>
          <t>2024-08-05</t>
        </is>
      </c>
      <c r="G436" s="4" t="n">
        <v>58615.87</v>
      </c>
      <c r="H436" s="4">
        <f>MAX(0,G436-SUMIFS('Paiements contrat'!$B:$B,'Paiements contrat'!$A:$A,A436))</f>
        <v/>
      </c>
      <c r="I436" s="4" t="n">
        <v>30474.46</v>
      </c>
      <c r="J436" t="inlineStr">
        <is>
          <t>actif</t>
        </is>
      </c>
    </row>
    <row r="437">
      <c r="A437" t="inlineStr">
        <is>
          <t>CTR-00443</t>
        </is>
      </c>
      <c r="B437" t="inlineStr">
        <is>
          <t>CLI-00295</t>
        </is>
      </c>
      <c r="C437" t="inlineStr">
        <is>
          <t>Île-de-France</t>
        </is>
      </c>
      <c r="D437" t="inlineStr">
        <is>
          <t>auto</t>
        </is>
      </c>
      <c r="E437" t="inlineStr">
        <is>
          <t>LLD</t>
        </is>
      </c>
      <c r="F437" t="inlineStr">
        <is>
          <t>2025-04-27</t>
        </is>
      </c>
      <c r="G437" s="4" t="n">
        <v>58474.35</v>
      </c>
      <c r="H437" s="4">
        <f>MAX(0,G437-SUMIFS('Paiements contrat'!$B:$B,'Paiements contrat'!$A:$A,A437))</f>
        <v/>
      </c>
      <c r="I437" s="4" t="n">
        <v>40208.45</v>
      </c>
      <c r="J437" t="inlineStr">
        <is>
          <t>actif</t>
        </is>
      </c>
    </row>
    <row r="438">
      <c r="A438" t="inlineStr">
        <is>
          <t>CTR-00444</t>
        </is>
      </c>
      <c r="B438" t="inlineStr">
        <is>
          <t>CLI-01423</t>
        </is>
      </c>
      <c r="C438" t="inlineStr">
        <is>
          <t>Île-de-France</t>
        </is>
      </c>
      <c r="D438" t="inlineStr">
        <is>
          <t>auto</t>
        </is>
      </c>
      <c r="E438" t="inlineStr">
        <is>
          <t>LLD</t>
        </is>
      </c>
      <c r="F438" t="inlineStr">
        <is>
          <t>2025-10-03</t>
        </is>
      </c>
      <c r="G438" s="4" t="n">
        <v>59568.66</v>
      </c>
      <c r="H438" s="4">
        <f>MAX(0,G438-SUMIFS('Paiements contrat'!$B:$B,'Paiements contrat'!$A:$A,A438))</f>
        <v/>
      </c>
      <c r="I438" s="4" t="n">
        <v>53285.12</v>
      </c>
      <c r="J438" t="inlineStr">
        <is>
          <t>actif</t>
        </is>
      </c>
    </row>
    <row r="439">
      <c r="A439" t="inlineStr">
        <is>
          <t>CTR-00445</t>
        </is>
      </c>
      <c r="B439" t="inlineStr">
        <is>
          <t>CLI-00751</t>
        </is>
      </c>
      <c r="C439" t="inlineStr">
        <is>
          <t>Île-de-France</t>
        </is>
      </c>
      <c r="D439" t="inlineStr">
        <is>
          <t>materiel</t>
        </is>
      </c>
      <c r="E439" t="inlineStr">
        <is>
          <t>crédit-bail</t>
        </is>
      </c>
      <c r="F439" t="inlineStr">
        <is>
          <t>2025-03-11</t>
        </is>
      </c>
      <c r="G439" s="4" t="n">
        <v>77733.11</v>
      </c>
      <c r="H439" s="4">
        <f>MAX(0,G439-SUMIFS('Paiements contrat'!$B:$B,'Paiements contrat'!$A:$A,A439))</f>
        <v/>
      </c>
      <c r="I439" s="4" t="n">
        <v>43372.89</v>
      </c>
      <c r="J439" t="inlineStr">
        <is>
          <t>actif</t>
        </is>
      </c>
    </row>
    <row r="440">
      <c r="A440" t="inlineStr">
        <is>
          <t>CTR-00446</t>
        </is>
      </c>
      <c r="B440" t="inlineStr">
        <is>
          <t>CLI-01137</t>
        </is>
      </c>
      <c r="C440" t="inlineStr">
        <is>
          <t>Île-de-France</t>
        </is>
      </c>
      <c r="D440" t="inlineStr">
        <is>
          <t>materiel</t>
        </is>
      </c>
      <c r="E440" t="inlineStr">
        <is>
          <t>crédit-bail</t>
        </is>
      </c>
      <c r="F440" t="inlineStr">
        <is>
          <t>2025-12-06</t>
        </is>
      </c>
      <c r="G440" s="4" t="n">
        <v>94281.77</v>
      </c>
      <c r="H440" s="4">
        <f>MAX(0,G440-SUMIFS('Paiements contrat'!$B:$B,'Paiements contrat'!$A:$A,A440))</f>
        <v/>
      </c>
      <c r="I440" s="4" t="n">
        <v>90845.54000000001</v>
      </c>
      <c r="J440" t="inlineStr">
        <is>
          <t>contentieux</t>
        </is>
      </c>
    </row>
    <row r="441">
      <c r="A441" t="inlineStr">
        <is>
          <t>CTR-00447</t>
        </is>
      </c>
      <c r="B441" t="inlineStr">
        <is>
          <t>CLI-00846</t>
        </is>
      </c>
      <c r="C441" t="inlineStr">
        <is>
          <t>Martinique</t>
        </is>
      </c>
      <c r="D441" t="inlineStr">
        <is>
          <t>auto</t>
        </is>
      </c>
      <c r="E441" t="inlineStr">
        <is>
          <t>LOA</t>
        </is>
      </c>
      <c r="F441" t="inlineStr">
        <is>
          <t>2025-07-22</t>
        </is>
      </c>
      <c r="G441" s="4" t="n">
        <v>11003.67</v>
      </c>
      <c r="H441" s="4">
        <f>MAX(0,G441-SUMIFS('Paiements contrat'!$B:$B,'Paiements contrat'!$A:$A,A441))</f>
        <v/>
      </c>
      <c r="I441" s="4" t="n">
        <v>3724.76</v>
      </c>
      <c r="J441" t="inlineStr">
        <is>
          <t>actif</t>
        </is>
      </c>
    </row>
    <row r="442">
      <c r="A442" t="inlineStr">
        <is>
          <t>CTR-00448</t>
        </is>
      </c>
      <c r="B442" t="inlineStr">
        <is>
          <t>CLI-00738</t>
        </is>
      </c>
      <c r="C442" t="inlineStr">
        <is>
          <t>Île-de-France</t>
        </is>
      </c>
      <c r="D442" t="inlineStr">
        <is>
          <t>auto</t>
        </is>
      </c>
      <c r="E442" t="inlineStr">
        <is>
          <t>LOA</t>
        </is>
      </c>
      <c r="F442" t="inlineStr">
        <is>
          <t>2025-01-22</t>
        </is>
      </c>
      <c r="G442" s="4" t="n">
        <v>77921.13</v>
      </c>
      <c r="H442" s="4">
        <f>MAX(0,G442-SUMIFS('Paiements contrat'!$B:$B,'Paiements contrat'!$A:$A,A442))</f>
        <v/>
      </c>
      <c r="I442" s="4" t="n">
        <v>35828.83281933937</v>
      </c>
      <c r="J442" t="inlineStr">
        <is>
          <t>actif</t>
        </is>
      </c>
    </row>
    <row r="443">
      <c r="A443" t="inlineStr">
        <is>
          <t>CTR-00449</t>
        </is>
      </c>
      <c r="B443" t="inlineStr">
        <is>
          <t>CLI-01153</t>
        </is>
      </c>
      <c r="C443" t="inlineStr">
        <is>
          <t>Île-de-France</t>
        </is>
      </c>
      <c r="D443" t="inlineStr">
        <is>
          <t>bateau</t>
        </is>
      </c>
      <c r="E443" t="inlineStr">
        <is>
          <t>LOA</t>
        </is>
      </c>
      <c r="F443" t="inlineStr">
        <is>
          <t>2025-12-14</t>
        </is>
      </c>
      <c r="G443" s="4" t="n">
        <v>233047.74</v>
      </c>
      <c r="H443" s="4">
        <f>MAX(0,G443-SUMIFS('Paiements contrat'!$B:$B,'Paiements contrat'!$A:$A,A443))</f>
        <v/>
      </c>
      <c r="I443" s="4" t="n">
        <v>175617.07</v>
      </c>
      <c r="J443" t="inlineStr">
        <is>
          <t>actif</t>
        </is>
      </c>
    </row>
    <row r="444">
      <c r="A444" t="inlineStr">
        <is>
          <t>CTR-00450</t>
        </is>
      </c>
      <c r="B444" t="inlineStr">
        <is>
          <t>CLI-00812</t>
        </is>
      </c>
      <c r="C444" t="inlineStr">
        <is>
          <t>Île-de-France</t>
        </is>
      </c>
      <c r="D444" t="inlineStr">
        <is>
          <t>auto</t>
        </is>
      </c>
      <c r="E444" t="inlineStr">
        <is>
          <t>LOA</t>
        </is>
      </c>
      <c r="F444" t="inlineStr">
        <is>
          <t>2025-10-11</t>
        </is>
      </c>
      <c r="G444" s="4" t="n">
        <v>46517.86</v>
      </c>
      <c r="H444" s="4">
        <f>MAX(0,G444-SUMIFS('Paiements contrat'!$B:$B,'Paiements contrat'!$A:$A,A444))</f>
        <v/>
      </c>
      <c r="I444" s="4" t="n">
        <v>27376.87</v>
      </c>
      <c r="J444" t="inlineStr">
        <is>
          <t>actif</t>
        </is>
      </c>
    </row>
    <row r="445">
      <c r="A445" t="inlineStr">
        <is>
          <t>CTR-00451</t>
        </is>
      </c>
      <c r="B445" t="inlineStr">
        <is>
          <t>CLI-00940</t>
        </is>
      </c>
      <c r="C445" t="inlineStr">
        <is>
          <t>Île-de-France</t>
        </is>
      </c>
      <c r="D445" t="inlineStr">
        <is>
          <t>auto</t>
        </is>
      </c>
      <c r="E445" t="inlineStr">
        <is>
          <t>LOA</t>
        </is>
      </c>
      <c r="F445" t="inlineStr">
        <is>
          <t>2025-12-01</t>
        </is>
      </c>
      <c r="G445" s="4" t="n">
        <v>20761.91</v>
      </c>
      <c r="H445" s="4">
        <f>MAX(0,G445-SUMIFS('Paiements contrat'!$B:$B,'Paiements contrat'!$A:$A,A445))</f>
        <v/>
      </c>
      <c r="I445" s="4" t="n">
        <v>15662.34</v>
      </c>
      <c r="J445" t="inlineStr">
        <is>
          <t>actif</t>
        </is>
      </c>
    </row>
    <row r="446">
      <c r="A446" t="inlineStr">
        <is>
          <t>CTR-00452</t>
        </is>
      </c>
      <c r="B446" t="inlineStr">
        <is>
          <t>CLI-01304</t>
        </is>
      </c>
      <c r="C446" t="inlineStr">
        <is>
          <t>Réunion</t>
        </is>
      </c>
      <c r="D446" t="inlineStr">
        <is>
          <t>auto</t>
        </is>
      </c>
      <c r="E446" t="inlineStr">
        <is>
          <t>LLD</t>
        </is>
      </c>
      <c r="F446" t="inlineStr">
        <is>
          <t>2025-12-24</t>
        </is>
      </c>
      <c r="G446" s="4" t="n">
        <v>32227.34</v>
      </c>
      <c r="H446" s="4">
        <f>MAX(0,G446-SUMIFS('Paiements contrat'!$B:$B,'Paiements contrat'!$A:$A,A446))</f>
        <v/>
      </c>
      <c r="I446" s="4" t="n">
        <v>31033.68</v>
      </c>
      <c r="J446" t="inlineStr">
        <is>
          <t>actif</t>
        </is>
      </c>
    </row>
    <row r="447">
      <c r="A447" t="inlineStr">
        <is>
          <t>CTR-00453</t>
        </is>
      </c>
      <c r="B447" t="inlineStr">
        <is>
          <t>CLI-01273</t>
        </is>
      </c>
      <c r="C447" t="inlineStr">
        <is>
          <t>Martinique</t>
        </is>
      </c>
      <c r="D447" t="inlineStr">
        <is>
          <t>materiel</t>
        </is>
      </c>
      <c r="E447" t="inlineStr">
        <is>
          <t>crédit-bail</t>
        </is>
      </c>
      <c r="F447" t="inlineStr">
        <is>
          <t>2025-01-22</t>
        </is>
      </c>
      <c r="G447" s="4" t="n">
        <v>54836.56</v>
      </c>
      <c r="H447" s="4">
        <f>MAX(0,G447-SUMIFS('Paiements contrat'!$B:$B,'Paiements contrat'!$A:$A,A447))</f>
        <v/>
      </c>
      <c r="I447" s="4" t="n">
        <v>23793.41468018662</v>
      </c>
      <c r="J447" t="inlineStr">
        <is>
          <t>contentieux</t>
        </is>
      </c>
    </row>
    <row r="448">
      <c r="A448" t="inlineStr">
        <is>
          <t>CTR-00454</t>
        </is>
      </c>
      <c r="B448" t="inlineStr">
        <is>
          <t>CLI-01345</t>
        </is>
      </c>
      <c r="C448" t="inlineStr">
        <is>
          <t>Île-de-France</t>
        </is>
      </c>
      <c r="D448" t="inlineStr">
        <is>
          <t>auto</t>
        </is>
      </c>
      <c r="E448" t="inlineStr">
        <is>
          <t>LOA</t>
        </is>
      </c>
      <c r="F448" t="inlineStr">
        <is>
          <t>2024-05-05</t>
        </is>
      </c>
      <c r="G448" s="4" t="n">
        <v>61143.72</v>
      </c>
      <c r="H448" s="4">
        <f>MAX(0,G448-SUMIFS('Paiements contrat'!$B:$B,'Paiements contrat'!$A:$A,A448))</f>
        <v/>
      </c>
      <c r="I448" s="4" t="n">
        <v>34956.31646600582</v>
      </c>
      <c r="J448" t="inlineStr">
        <is>
          <t>actif</t>
        </is>
      </c>
    </row>
    <row r="449">
      <c r="A449" t="inlineStr">
        <is>
          <t>CTR-00455</t>
        </is>
      </c>
      <c r="B449" t="inlineStr">
        <is>
          <t>CLI-00075</t>
        </is>
      </c>
      <c r="C449" t="inlineStr">
        <is>
          <t>Guadeloupe</t>
        </is>
      </c>
      <c r="D449" t="inlineStr">
        <is>
          <t>bateau</t>
        </is>
      </c>
      <c r="E449" t="inlineStr">
        <is>
          <t>LOA</t>
        </is>
      </c>
      <c r="F449" t="inlineStr">
        <is>
          <t>2025-09-01</t>
        </is>
      </c>
      <c r="G449" s="4" t="n">
        <v>172456.83</v>
      </c>
      <c r="H449" s="4">
        <f>MAX(0,G449-SUMIFS('Paiements contrat'!$B:$B,'Paiements contrat'!$A:$A,A449))</f>
        <v/>
      </c>
      <c r="I449" s="4" t="n">
        <v>156454.49</v>
      </c>
      <c r="J449" t="inlineStr">
        <is>
          <t>actif</t>
        </is>
      </c>
    </row>
    <row r="450">
      <c r="A450" t="inlineStr">
        <is>
          <t>CTR-00456</t>
        </is>
      </c>
      <c r="B450" t="inlineStr">
        <is>
          <t>CLI-00061</t>
        </is>
      </c>
      <c r="C450" t="inlineStr">
        <is>
          <t>Île-de-France</t>
        </is>
      </c>
      <c r="D450" t="inlineStr">
        <is>
          <t>auto</t>
        </is>
      </c>
      <c r="E450" t="inlineStr">
        <is>
          <t>LLD</t>
        </is>
      </c>
      <c r="F450" t="inlineStr">
        <is>
          <t>2025-07-03</t>
        </is>
      </c>
      <c r="G450" s="4" t="n">
        <v>25808.89</v>
      </c>
      <c r="H450" s="4">
        <f>MAX(0,G450-SUMIFS('Paiements contrat'!$B:$B,'Paiements contrat'!$A:$A,A450))</f>
        <v/>
      </c>
      <c r="I450" s="4" t="n">
        <v>19975.53</v>
      </c>
      <c r="J450" t="inlineStr">
        <is>
          <t>actif</t>
        </is>
      </c>
    </row>
    <row r="451">
      <c r="A451" t="inlineStr">
        <is>
          <t>CTR-00457</t>
        </is>
      </c>
      <c r="B451" t="inlineStr">
        <is>
          <t>CLI-00675</t>
        </is>
      </c>
      <c r="C451" t="inlineStr">
        <is>
          <t>Guadeloupe</t>
        </is>
      </c>
      <c r="D451" t="inlineStr">
        <is>
          <t>auto</t>
        </is>
      </c>
      <c r="E451" t="inlineStr">
        <is>
          <t>LLD</t>
        </is>
      </c>
      <c r="F451" t="inlineStr">
        <is>
          <t>2024-12-10</t>
        </is>
      </c>
      <c r="G451" s="4" t="n">
        <v>19695.87</v>
      </c>
      <c r="H451" s="4">
        <f>MAX(0,G451-SUMIFS('Paiements contrat'!$B:$B,'Paiements contrat'!$A:$A,A451))</f>
        <v/>
      </c>
      <c r="I451" s="4" t="n">
        <v>15263.68057475772</v>
      </c>
      <c r="J451" t="inlineStr">
        <is>
          <t>actif</t>
        </is>
      </c>
    </row>
    <row r="452">
      <c r="A452" t="inlineStr">
        <is>
          <t>CTR-00458</t>
        </is>
      </c>
      <c r="B452" t="inlineStr">
        <is>
          <t>CLI-00076</t>
        </is>
      </c>
      <c r="C452" t="inlineStr">
        <is>
          <t>Île-de-France</t>
        </is>
      </c>
      <c r="D452" t="inlineStr">
        <is>
          <t>materiel</t>
        </is>
      </c>
      <c r="E452" t="inlineStr">
        <is>
          <t>crédit-bail</t>
        </is>
      </c>
      <c r="F452" t="inlineStr">
        <is>
          <t>2025-03-22</t>
        </is>
      </c>
      <c r="G452" s="4" t="n">
        <v>20086.74</v>
      </c>
      <c r="H452" s="4">
        <f>MAX(0,G452-SUMIFS('Paiements contrat'!$B:$B,'Paiements contrat'!$A:$A,A452))</f>
        <v/>
      </c>
      <c r="I452" s="4" t="n">
        <v>14405.12660739132</v>
      </c>
      <c r="J452" t="inlineStr">
        <is>
          <t>actif</t>
        </is>
      </c>
    </row>
    <row r="453">
      <c r="A453" t="inlineStr">
        <is>
          <t>CTR-00459</t>
        </is>
      </c>
      <c r="B453" t="inlineStr">
        <is>
          <t>CLI-00518</t>
        </is>
      </c>
      <c r="C453" t="inlineStr">
        <is>
          <t>Île-de-France</t>
        </is>
      </c>
      <c r="D453" t="inlineStr">
        <is>
          <t>auto</t>
        </is>
      </c>
      <c r="E453" t="inlineStr">
        <is>
          <t>LLD</t>
        </is>
      </c>
      <c r="F453" t="inlineStr">
        <is>
          <t>2024-04-19</t>
        </is>
      </c>
      <c r="G453" s="4" t="n">
        <v>12751.35</v>
      </c>
      <c r="H453" s="4">
        <f>MAX(0,G453-SUMIFS('Paiements contrat'!$B:$B,'Paiements contrat'!$A:$A,A453))</f>
        <v/>
      </c>
      <c r="I453" s="4" t="n">
        <v>1326.609708543447</v>
      </c>
      <c r="J453" t="inlineStr">
        <is>
          <t>actif</t>
        </is>
      </c>
    </row>
    <row r="454">
      <c r="A454" t="inlineStr">
        <is>
          <t>CTR-00460</t>
        </is>
      </c>
      <c r="B454" t="inlineStr">
        <is>
          <t>CLI-00158</t>
        </is>
      </c>
      <c r="C454" t="inlineStr">
        <is>
          <t>Île-de-France</t>
        </is>
      </c>
      <c r="D454" t="inlineStr">
        <is>
          <t>auto</t>
        </is>
      </c>
      <c r="E454" t="inlineStr">
        <is>
          <t>LOA</t>
        </is>
      </c>
      <c r="F454" t="inlineStr">
        <is>
          <t>2025-10-14</t>
        </is>
      </c>
      <c r="G454" s="4" t="n">
        <v>65194.63</v>
      </c>
      <c r="H454" s="4">
        <f>MAX(0,G454-SUMIFS('Paiements contrat'!$B:$B,'Paiements contrat'!$A:$A,A454))</f>
        <v/>
      </c>
      <c r="I454" s="4" t="n">
        <v>55134.67</v>
      </c>
      <c r="J454" t="inlineStr">
        <is>
          <t>actif</t>
        </is>
      </c>
    </row>
    <row r="455">
      <c r="A455" t="inlineStr">
        <is>
          <t>CTR-00461</t>
        </is>
      </c>
      <c r="B455" t="inlineStr">
        <is>
          <t>CLI-00501</t>
        </is>
      </c>
      <c r="C455" t="inlineStr">
        <is>
          <t>Guyane</t>
        </is>
      </c>
      <c r="D455" t="inlineStr">
        <is>
          <t>auto</t>
        </is>
      </c>
      <c r="E455" t="inlineStr">
        <is>
          <t>LLD</t>
        </is>
      </c>
      <c r="F455" t="inlineStr">
        <is>
          <t>2024-07-15</t>
        </is>
      </c>
      <c r="G455" s="4" t="n">
        <v>28404.47</v>
      </c>
      <c r="H455" s="4">
        <f>MAX(0,G455-SUMIFS('Paiements contrat'!$B:$B,'Paiements contrat'!$A:$A,A455))</f>
        <v/>
      </c>
      <c r="I455" s="4" t="n">
        <v>10600.79</v>
      </c>
      <c r="J455" t="inlineStr">
        <is>
          <t>actif</t>
        </is>
      </c>
    </row>
    <row r="456">
      <c r="A456" t="inlineStr">
        <is>
          <t>CTR-00462</t>
        </is>
      </c>
      <c r="B456" t="inlineStr">
        <is>
          <t>CLI-01388</t>
        </is>
      </c>
      <c r="C456" t="inlineStr">
        <is>
          <t>Île-de-France</t>
        </is>
      </c>
      <c r="D456" t="inlineStr">
        <is>
          <t>materiel</t>
        </is>
      </c>
      <c r="E456" t="inlineStr">
        <is>
          <t>crédit-bail</t>
        </is>
      </c>
      <c r="F456" t="inlineStr">
        <is>
          <t>2024-04-08</t>
        </is>
      </c>
      <c r="G456" s="4" t="n">
        <v>51017.01</v>
      </c>
      <c r="H456" s="4">
        <f>MAX(0,G456-SUMIFS('Paiements contrat'!$B:$B,'Paiements contrat'!$A:$A,A456))</f>
        <v/>
      </c>
      <c r="I456" s="4" t="n">
        <v>2277.240000000005</v>
      </c>
      <c r="J456" t="inlineStr">
        <is>
          <t>actif</t>
        </is>
      </c>
    </row>
    <row r="457">
      <c r="A457" t="inlineStr">
        <is>
          <t>CTR-00463</t>
        </is>
      </c>
      <c r="B457" t="inlineStr">
        <is>
          <t>CLI-00936</t>
        </is>
      </c>
      <c r="C457" t="inlineStr">
        <is>
          <t>Martinique</t>
        </is>
      </c>
      <c r="D457" t="inlineStr">
        <is>
          <t>materiel</t>
        </is>
      </c>
      <c r="E457" t="inlineStr">
        <is>
          <t>crédit-bail</t>
        </is>
      </c>
      <c r="F457" t="inlineStr">
        <is>
          <t>2026-02-20</t>
        </is>
      </c>
      <c r="G457" s="4" t="n">
        <v>56240.83</v>
      </c>
      <c r="H457" s="4">
        <f>MAX(0,G457-SUMIFS('Paiements contrat'!$B:$B,'Paiements contrat'!$A:$A,A457))</f>
        <v/>
      </c>
      <c r="I457" s="4" t="n">
        <v>54753.39</v>
      </c>
      <c r="J457" t="inlineStr">
        <is>
          <t>actif</t>
        </is>
      </c>
    </row>
    <row r="458">
      <c r="A458" t="inlineStr">
        <is>
          <t>CTR-00464</t>
        </is>
      </c>
      <c r="B458" t="inlineStr">
        <is>
          <t>CLI-01324</t>
        </is>
      </c>
      <c r="C458" t="inlineStr">
        <is>
          <t>Île-de-France</t>
        </is>
      </c>
      <c r="D458" t="inlineStr">
        <is>
          <t>auto</t>
        </is>
      </c>
      <c r="E458" t="inlineStr">
        <is>
          <t>LLD</t>
        </is>
      </c>
      <c r="F458" t="inlineStr">
        <is>
          <t>2025-04-12</t>
        </is>
      </c>
      <c r="G458" s="4" t="n">
        <v>76842.32000000001</v>
      </c>
      <c r="H458" s="4">
        <f>MAX(0,G458-SUMIFS('Paiements contrat'!$B:$B,'Paiements contrat'!$A:$A,A458))</f>
        <v/>
      </c>
      <c r="I458" s="4" t="n">
        <v>42880.69000000001</v>
      </c>
      <c r="J458" t="inlineStr">
        <is>
          <t>actif</t>
        </is>
      </c>
    </row>
    <row r="459">
      <c r="A459" t="inlineStr">
        <is>
          <t>CTR-00465</t>
        </is>
      </c>
      <c r="B459" t="inlineStr">
        <is>
          <t>CLI-00702</t>
        </is>
      </c>
      <c r="C459" t="inlineStr">
        <is>
          <t>Île-de-France</t>
        </is>
      </c>
      <c r="D459" t="inlineStr">
        <is>
          <t>auto</t>
        </is>
      </c>
      <c r="E459" t="inlineStr">
        <is>
          <t>LLD</t>
        </is>
      </c>
      <c r="F459" t="inlineStr">
        <is>
          <t>2025-02-04</t>
        </is>
      </c>
      <c r="G459" s="4" t="n">
        <v>77107.85000000001</v>
      </c>
      <c r="H459" s="4">
        <f>MAX(0,G459-SUMIFS('Paiements contrat'!$B:$B,'Paiements contrat'!$A:$A,A459))</f>
        <v/>
      </c>
      <c r="I459" s="4" t="n">
        <v>25686.86000000001</v>
      </c>
      <c r="J459" t="inlineStr">
        <is>
          <t>soldé</t>
        </is>
      </c>
    </row>
    <row r="460">
      <c r="A460" t="inlineStr">
        <is>
          <t>CTR-00466</t>
        </is>
      </c>
      <c r="B460" t="inlineStr">
        <is>
          <t>CLI-01196</t>
        </is>
      </c>
      <c r="C460" t="inlineStr">
        <is>
          <t>Île-de-France</t>
        </is>
      </c>
      <c r="D460" t="inlineStr">
        <is>
          <t>auto</t>
        </is>
      </c>
      <c r="E460" t="inlineStr">
        <is>
          <t>LLD</t>
        </is>
      </c>
      <c r="F460" t="inlineStr">
        <is>
          <t>2024-11-18</t>
        </is>
      </c>
      <c r="G460" s="4" t="n">
        <v>49703.33</v>
      </c>
      <c r="H460" s="4">
        <f>MAX(0,G460-SUMIFS('Paiements contrat'!$B:$B,'Paiements contrat'!$A:$A,A460))</f>
        <v/>
      </c>
      <c r="I460" s="4" t="n">
        <v>30859.16665171782</v>
      </c>
      <c r="J460" t="inlineStr">
        <is>
          <t>actif</t>
        </is>
      </c>
    </row>
    <row r="461">
      <c r="A461" t="inlineStr">
        <is>
          <t>CTR-00467</t>
        </is>
      </c>
      <c r="B461" t="inlineStr">
        <is>
          <t>CLI-00719</t>
        </is>
      </c>
      <c r="C461" t="inlineStr">
        <is>
          <t>Île-de-France</t>
        </is>
      </c>
      <c r="D461" t="inlineStr">
        <is>
          <t>auto</t>
        </is>
      </c>
      <c r="E461" t="inlineStr">
        <is>
          <t>LOA</t>
        </is>
      </c>
      <c r="F461" t="inlineStr">
        <is>
          <t>2025-06-07</t>
        </is>
      </c>
      <c r="G461" s="4" t="n">
        <v>59331.63</v>
      </c>
      <c r="H461" s="4">
        <f>MAX(0,G461-SUMIFS('Paiements contrat'!$B:$B,'Paiements contrat'!$A:$A,A461))</f>
        <v/>
      </c>
      <c r="I461" s="4" t="n">
        <v>47185.19</v>
      </c>
      <c r="J461" t="inlineStr">
        <is>
          <t>actif</t>
        </is>
      </c>
    </row>
    <row r="462">
      <c r="A462" t="inlineStr">
        <is>
          <t>CTR-00468</t>
        </is>
      </c>
      <c r="B462" t="inlineStr">
        <is>
          <t>CLI-00584</t>
        </is>
      </c>
      <c r="C462" t="inlineStr">
        <is>
          <t>Île-de-France</t>
        </is>
      </c>
      <c r="D462" t="inlineStr">
        <is>
          <t>auto</t>
        </is>
      </c>
      <c r="E462" t="inlineStr">
        <is>
          <t>LOA</t>
        </is>
      </c>
      <c r="F462" t="inlineStr">
        <is>
          <t>2024-07-02</t>
        </is>
      </c>
      <c r="G462" s="4" t="n">
        <v>51330.77</v>
      </c>
      <c r="H462" s="4">
        <f>MAX(0,G462-SUMIFS('Paiements contrat'!$B:$B,'Paiements contrat'!$A:$A,A462))</f>
        <v/>
      </c>
      <c r="I462" s="4" t="n">
        <v>12474.17690158352</v>
      </c>
      <c r="J462" t="inlineStr">
        <is>
          <t>actif</t>
        </is>
      </c>
    </row>
    <row r="463">
      <c r="A463" t="inlineStr">
        <is>
          <t>CTR-00469</t>
        </is>
      </c>
      <c r="B463" t="inlineStr">
        <is>
          <t>CLI-00176</t>
        </is>
      </c>
      <c r="C463" t="inlineStr">
        <is>
          <t>Île-de-France</t>
        </is>
      </c>
      <c r="D463" t="inlineStr">
        <is>
          <t>materiel</t>
        </is>
      </c>
      <c r="E463" t="inlineStr">
        <is>
          <t>crédit-bail</t>
        </is>
      </c>
      <c r="F463" t="inlineStr">
        <is>
          <t>2025-08-12</t>
        </is>
      </c>
      <c r="G463" s="4" t="n">
        <v>167233.17</v>
      </c>
      <c r="H463" s="4">
        <f>MAX(0,G463-SUMIFS('Paiements contrat'!$B:$B,'Paiements contrat'!$A:$A,A463))</f>
        <v/>
      </c>
      <c r="I463" s="4" t="n">
        <v>136335.33</v>
      </c>
      <c r="J463" t="inlineStr">
        <is>
          <t>actif</t>
        </is>
      </c>
    </row>
    <row r="464">
      <c r="A464" t="inlineStr">
        <is>
          <t>CTR-00470</t>
        </is>
      </c>
      <c r="B464" t="inlineStr">
        <is>
          <t>CLI-00180</t>
        </is>
      </c>
      <c r="C464" t="inlineStr">
        <is>
          <t>Île-de-France</t>
        </is>
      </c>
      <c r="D464" t="inlineStr">
        <is>
          <t>materiel</t>
        </is>
      </c>
      <c r="E464" t="inlineStr">
        <is>
          <t>crédit-bail</t>
        </is>
      </c>
      <c r="F464" t="inlineStr">
        <is>
          <t>2025-12-02</t>
        </is>
      </c>
      <c r="G464" s="4" t="n">
        <v>87256.73</v>
      </c>
      <c r="H464" s="4">
        <f>MAX(0,G464-SUMIFS('Paiements contrat'!$B:$B,'Paiements contrat'!$A:$A,A464))</f>
        <v/>
      </c>
      <c r="I464" s="4" t="n">
        <v>81685.7</v>
      </c>
      <c r="J464" t="inlineStr">
        <is>
          <t>actif</t>
        </is>
      </c>
    </row>
    <row r="465">
      <c r="A465" t="inlineStr">
        <is>
          <t>CTR-00471</t>
        </is>
      </c>
      <c r="B465" t="inlineStr">
        <is>
          <t>CLI-01256</t>
        </is>
      </c>
      <c r="C465" t="inlineStr">
        <is>
          <t>Réunion</t>
        </is>
      </c>
      <c r="D465" t="inlineStr">
        <is>
          <t>materiel</t>
        </is>
      </c>
      <c r="E465" t="inlineStr">
        <is>
          <t>crédit-bail</t>
        </is>
      </c>
      <c r="F465" t="inlineStr">
        <is>
          <t>2025-07-12</t>
        </is>
      </c>
      <c r="G465" s="4" t="n">
        <v>153335.56</v>
      </c>
      <c r="H465" s="4">
        <f>MAX(0,G465-SUMIFS('Paiements contrat'!$B:$B,'Paiements contrat'!$A:$A,A465))</f>
        <v/>
      </c>
      <c r="I465" s="4" t="n">
        <v>137434.2</v>
      </c>
      <c r="J465" t="inlineStr">
        <is>
          <t>actif</t>
        </is>
      </c>
    </row>
    <row r="466">
      <c r="A466" t="inlineStr">
        <is>
          <t>CTR-00472</t>
        </is>
      </c>
      <c r="B466" t="inlineStr">
        <is>
          <t>CLI-01141</t>
        </is>
      </c>
      <c r="C466" t="inlineStr">
        <is>
          <t>Guyane</t>
        </is>
      </c>
      <c r="D466" t="inlineStr">
        <is>
          <t>bateau</t>
        </is>
      </c>
      <c r="E466" t="inlineStr">
        <is>
          <t>LOA</t>
        </is>
      </c>
      <c r="F466" t="inlineStr">
        <is>
          <t>2025-10-27</t>
        </is>
      </c>
      <c r="G466" s="4" t="n">
        <v>29762.2</v>
      </c>
      <c r="H466" s="4">
        <f>MAX(0,G466-SUMIFS('Paiements contrat'!$B:$B,'Paiements contrat'!$A:$A,A466))</f>
        <v/>
      </c>
      <c r="I466" s="4" t="n">
        <v>25006.57</v>
      </c>
      <c r="J466" t="inlineStr">
        <is>
          <t>actif</t>
        </is>
      </c>
    </row>
    <row r="467">
      <c r="A467" t="inlineStr">
        <is>
          <t>CTR-00473</t>
        </is>
      </c>
      <c r="B467" t="inlineStr">
        <is>
          <t>CLI-00772</t>
        </is>
      </c>
      <c r="C467" t="inlineStr">
        <is>
          <t>Île-de-France</t>
        </is>
      </c>
      <c r="D467" t="inlineStr">
        <is>
          <t>materiel</t>
        </is>
      </c>
      <c r="E467" t="inlineStr">
        <is>
          <t>crédit-bail</t>
        </is>
      </c>
      <c r="F467" t="inlineStr">
        <is>
          <t>2024-10-26</t>
        </is>
      </c>
      <c r="G467" s="4" t="n">
        <v>99122.31</v>
      </c>
      <c r="H467" s="4">
        <f>MAX(0,G467-SUMIFS('Paiements contrat'!$B:$B,'Paiements contrat'!$A:$A,A467))</f>
        <v/>
      </c>
      <c r="I467" s="4" t="n">
        <v>8312.779999999999</v>
      </c>
      <c r="J467" t="inlineStr">
        <is>
          <t>actif</t>
        </is>
      </c>
    </row>
    <row r="468">
      <c r="A468" t="inlineStr">
        <is>
          <t>CTR-00474</t>
        </is>
      </c>
      <c r="B468" t="inlineStr">
        <is>
          <t>CLI-01236</t>
        </is>
      </c>
      <c r="C468" t="inlineStr">
        <is>
          <t>Guyane</t>
        </is>
      </c>
      <c r="D468" t="inlineStr">
        <is>
          <t>auto</t>
        </is>
      </c>
      <c r="E468" t="inlineStr">
        <is>
          <t>LOA</t>
        </is>
      </c>
      <c r="F468" t="inlineStr">
        <is>
          <t>2025-08-15</t>
        </is>
      </c>
      <c r="G468" s="4" t="n">
        <v>20978.45</v>
      </c>
      <c r="H468" s="4">
        <f>MAX(0,G468-SUMIFS('Paiements contrat'!$B:$B,'Paiements contrat'!$A:$A,A468))</f>
        <v/>
      </c>
      <c r="I468" s="4" t="n">
        <v>16302.82</v>
      </c>
      <c r="J468" t="inlineStr">
        <is>
          <t>actif</t>
        </is>
      </c>
    </row>
    <row r="469">
      <c r="A469" t="inlineStr">
        <is>
          <t>CTR-00475</t>
        </is>
      </c>
      <c r="B469" t="inlineStr">
        <is>
          <t>CLI-00171</t>
        </is>
      </c>
      <c r="C469" t="inlineStr">
        <is>
          <t>Martinique</t>
        </is>
      </c>
      <c r="D469" t="inlineStr">
        <is>
          <t>auto</t>
        </is>
      </c>
      <c r="E469" t="inlineStr">
        <is>
          <t>LLD</t>
        </is>
      </c>
      <c r="F469" t="inlineStr">
        <is>
          <t>2025-09-21</t>
        </is>
      </c>
      <c r="G469" s="4" t="n">
        <v>26700.71</v>
      </c>
      <c r="H469" s="4">
        <f>MAX(0,G469-SUMIFS('Paiements contrat'!$B:$B,'Paiements contrat'!$A:$A,A469))</f>
        <v/>
      </c>
      <c r="I469" s="4" t="n">
        <v>23232.16</v>
      </c>
      <c r="J469" t="inlineStr">
        <is>
          <t>actif</t>
        </is>
      </c>
    </row>
    <row r="470">
      <c r="A470" t="inlineStr">
        <is>
          <t>CTR-00476</t>
        </is>
      </c>
      <c r="B470" t="inlineStr">
        <is>
          <t>CLI-00598</t>
        </is>
      </c>
      <c r="C470" t="inlineStr">
        <is>
          <t>Guadeloupe</t>
        </is>
      </c>
      <c r="D470" t="inlineStr">
        <is>
          <t>auto</t>
        </is>
      </c>
      <c r="E470" t="inlineStr">
        <is>
          <t>LLD</t>
        </is>
      </c>
      <c r="F470" t="inlineStr">
        <is>
          <t>2024-11-14</t>
        </is>
      </c>
      <c r="G470" s="4" t="n">
        <v>47940.43</v>
      </c>
      <c r="H470" s="4">
        <f>MAX(0,G470-SUMIFS('Paiements contrat'!$B:$B,'Paiements contrat'!$A:$A,A470))</f>
        <v/>
      </c>
      <c r="I470" s="4" t="n">
        <v>28966.82</v>
      </c>
      <c r="J470" t="inlineStr">
        <is>
          <t>actif</t>
        </is>
      </c>
    </row>
    <row r="471">
      <c r="A471" t="inlineStr">
        <is>
          <t>CTR-00477</t>
        </is>
      </c>
      <c r="B471" t="inlineStr">
        <is>
          <t>CLI-00760</t>
        </is>
      </c>
      <c r="C471" t="inlineStr">
        <is>
          <t>Île-de-France</t>
        </is>
      </c>
      <c r="D471" t="inlineStr">
        <is>
          <t>materiel</t>
        </is>
      </c>
      <c r="E471" t="inlineStr">
        <is>
          <t>crédit-bail</t>
        </is>
      </c>
      <c r="F471" t="inlineStr">
        <is>
          <t>2026-03-10</t>
        </is>
      </c>
      <c r="G471" s="4" t="n">
        <v>91378.34</v>
      </c>
      <c r="H471" s="4">
        <f>MAX(0,G471-SUMIFS('Paiements contrat'!$B:$B,'Paiements contrat'!$A:$A,A471))</f>
        <v/>
      </c>
      <c r="I471" s="4" t="n">
        <v>91378.34</v>
      </c>
      <c r="J471" t="inlineStr">
        <is>
          <t>actif</t>
        </is>
      </c>
    </row>
    <row r="472">
      <c r="A472" t="inlineStr">
        <is>
          <t>CTR-00478</t>
        </is>
      </c>
      <c r="B472" t="inlineStr">
        <is>
          <t>CLI-01036</t>
        </is>
      </c>
      <c r="C472" t="inlineStr">
        <is>
          <t>Réunion</t>
        </is>
      </c>
      <c r="D472" t="inlineStr">
        <is>
          <t>auto</t>
        </is>
      </c>
      <c r="E472" t="inlineStr">
        <is>
          <t>LLD</t>
        </is>
      </c>
      <c r="F472" t="inlineStr">
        <is>
          <t>2025-08-20</t>
        </is>
      </c>
      <c r="G472" s="4" t="n">
        <v>25052.47</v>
      </c>
      <c r="H472" s="4">
        <f>MAX(0,G472-SUMIFS('Paiements contrat'!$B:$B,'Paiements contrat'!$A:$A,A472))</f>
        <v/>
      </c>
      <c r="I472" s="4" t="n">
        <v>15688.81</v>
      </c>
      <c r="J472" t="inlineStr">
        <is>
          <t>actif</t>
        </is>
      </c>
    </row>
    <row r="473">
      <c r="A473" t="inlineStr">
        <is>
          <t>CTR-00479</t>
        </is>
      </c>
      <c r="B473" t="inlineStr">
        <is>
          <t>CLI-00531</t>
        </is>
      </c>
      <c r="C473" t="inlineStr">
        <is>
          <t>Guyane</t>
        </is>
      </c>
      <c r="D473" t="inlineStr">
        <is>
          <t>auto</t>
        </is>
      </c>
      <c r="E473" t="inlineStr">
        <is>
          <t>LLD</t>
        </is>
      </c>
      <c r="F473" t="inlineStr">
        <is>
          <t>2025-03-16</t>
        </is>
      </c>
      <c r="G473" s="4" t="n">
        <v>19625.28</v>
      </c>
      <c r="H473" s="4">
        <f>MAX(0,G473-SUMIFS('Paiements contrat'!$B:$B,'Paiements contrat'!$A:$A,A473))</f>
        <v/>
      </c>
      <c r="I473" s="4" t="n">
        <v>15430.87</v>
      </c>
      <c r="J473" t="inlineStr">
        <is>
          <t>actif</t>
        </is>
      </c>
    </row>
    <row r="474">
      <c r="A474" t="inlineStr">
        <is>
          <t>CTR-00480</t>
        </is>
      </c>
      <c r="B474" t="inlineStr">
        <is>
          <t>CLI-00588</t>
        </is>
      </c>
      <c r="C474" t="inlineStr">
        <is>
          <t>Martinique</t>
        </is>
      </c>
      <c r="D474" t="inlineStr">
        <is>
          <t>auto</t>
        </is>
      </c>
      <c r="E474" t="inlineStr">
        <is>
          <t>LOA</t>
        </is>
      </c>
      <c r="F474" t="inlineStr">
        <is>
          <t>2024-09-23</t>
        </is>
      </c>
      <c r="G474" s="4" t="n">
        <v>70424.83</v>
      </c>
      <c r="H474" s="4">
        <f>MAX(0,G474-SUMIFS('Paiements contrat'!$B:$B,'Paiements contrat'!$A:$A,A474))</f>
        <v/>
      </c>
      <c r="I474" s="4" t="n">
        <v>21203.63</v>
      </c>
      <c r="J474" t="inlineStr">
        <is>
          <t>actif</t>
        </is>
      </c>
    </row>
    <row r="475">
      <c r="A475" t="inlineStr">
        <is>
          <t>CTR-00481</t>
        </is>
      </c>
      <c r="B475" t="inlineStr">
        <is>
          <t>CLI-00802</t>
        </is>
      </c>
      <c r="C475" t="inlineStr">
        <is>
          <t>Île-de-France</t>
        </is>
      </c>
      <c r="D475" t="inlineStr">
        <is>
          <t>auto</t>
        </is>
      </c>
      <c r="E475" t="inlineStr">
        <is>
          <t>LLD</t>
        </is>
      </c>
      <c r="F475" t="inlineStr">
        <is>
          <t>2024-05-22</t>
        </is>
      </c>
      <c r="G475" s="4" t="n">
        <v>63451.3</v>
      </c>
      <c r="H475" s="4">
        <f>MAX(0,G475-SUMIFS('Paiements contrat'!$B:$B,'Paiements contrat'!$A:$A,A475))</f>
        <v/>
      </c>
      <c r="I475" s="4" t="n">
        <v>29793.65</v>
      </c>
      <c r="J475" t="inlineStr">
        <is>
          <t>actif</t>
        </is>
      </c>
    </row>
    <row r="476">
      <c r="A476" t="inlineStr">
        <is>
          <t>CTR-00482</t>
        </is>
      </c>
      <c r="B476" t="inlineStr">
        <is>
          <t>CLI-00416</t>
        </is>
      </c>
      <c r="C476" t="inlineStr">
        <is>
          <t>Île-de-France</t>
        </is>
      </c>
      <c r="D476" t="inlineStr">
        <is>
          <t>auto</t>
        </is>
      </c>
      <c r="E476" t="inlineStr">
        <is>
          <t>LLD</t>
        </is>
      </c>
      <c r="F476" t="inlineStr">
        <is>
          <t>2025-11-11</t>
        </is>
      </c>
      <c r="G476" s="4" t="n">
        <v>67310.56</v>
      </c>
      <c r="H476" s="4">
        <f>MAX(0,G476-SUMIFS('Paiements contrat'!$B:$B,'Paiements contrat'!$A:$A,A476))</f>
        <v/>
      </c>
      <c r="I476" s="4" t="n">
        <v>52868.61</v>
      </c>
      <c r="J476" t="inlineStr">
        <is>
          <t>actif</t>
        </is>
      </c>
    </row>
    <row r="477">
      <c r="A477" t="inlineStr">
        <is>
          <t>CTR-00483</t>
        </is>
      </c>
      <c r="B477" t="inlineStr">
        <is>
          <t>CLI-01459</t>
        </is>
      </c>
      <c r="C477" t="inlineStr">
        <is>
          <t>Martinique</t>
        </is>
      </c>
      <c r="D477" t="inlineStr">
        <is>
          <t>auto</t>
        </is>
      </c>
      <c r="E477" t="inlineStr">
        <is>
          <t>LOA</t>
        </is>
      </c>
      <c r="F477" t="inlineStr">
        <is>
          <t>2024-08-01</t>
        </is>
      </c>
      <c r="G477" s="4" t="n">
        <v>60878.62</v>
      </c>
      <c r="H477" s="4">
        <f>MAX(0,G477-SUMIFS('Paiements contrat'!$B:$B,'Paiements contrat'!$A:$A,A477))</f>
        <v/>
      </c>
      <c r="I477" s="4" t="n">
        <v>43199.10000000001</v>
      </c>
      <c r="J477" t="inlineStr">
        <is>
          <t>actif</t>
        </is>
      </c>
    </row>
    <row r="478">
      <c r="A478" t="inlineStr">
        <is>
          <t>CTR-00484</t>
        </is>
      </c>
      <c r="B478" t="inlineStr">
        <is>
          <t>CLI-00246</t>
        </is>
      </c>
      <c r="C478" t="inlineStr">
        <is>
          <t>Île-de-France</t>
        </is>
      </c>
      <c r="D478" t="inlineStr">
        <is>
          <t>materiel</t>
        </is>
      </c>
      <c r="E478" t="inlineStr">
        <is>
          <t>crédit-bail</t>
        </is>
      </c>
      <c r="F478" t="inlineStr">
        <is>
          <t>2024-05-12</t>
        </is>
      </c>
      <c r="G478" s="4" t="n">
        <v>106849.86</v>
      </c>
      <c r="H478" s="4">
        <f>MAX(0,G478-SUMIFS('Paiements contrat'!$B:$B,'Paiements contrat'!$A:$A,A478))</f>
        <v/>
      </c>
      <c r="I478" s="4" t="n">
        <v>78326.29000000001</v>
      </c>
      <c r="J478" t="inlineStr">
        <is>
          <t>actif</t>
        </is>
      </c>
    </row>
    <row r="479">
      <c r="A479" t="inlineStr">
        <is>
          <t>CTR-00485</t>
        </is>
      </c>
      <c r="B479" t="inlineStr">
        <is>
          <t>CLI-00818</t>
        </is>
      </c>
      <c r="C479" t="inlineStr">
        <is>
          <t>Guadeloupe</t>
        </is>
      </c>
      <c r="D479" t="inlineStr">
        <is>
          <t>materiel</t>
        </is>
      </c>
      <c r="E479" t="inlineStr">
        <is>
          <t>crédit-bail</t>
        </is>
      </c>
      <c r="F479" t="inlineStr">
        <is>
          <t>2024-09-20</t>
        </is>
      </c>
      <c r="G479" s="4" t="n">
        <v>64724.02</v>
      </c>
      <c r="H479" s="4">
        <f>MAX(0,G479-SUMIFS('Paiements contrat'!$B:$B,'Paiements contrat'!$A:$A,A479))</f>
        <v/>
      </c>
      <c r="I479" s="4" t="n">
        <v>22225.12</v>
      </c>
      <c r="J479" t="inlineStr">
        <is>
          <t>actif</t>
        </is>
      </c>
    </row>
    <row r="480">
      <c r="A480" t="inlineStr">
        <is>
          <t>CTR-00486</t>
        </is>
      </c>
      <c r="B480" t="inlineStr">
        <is>
          <t>CLI-00668</t>
        </is>
      </c>
      <c r="C480" t="inlineStr">
        <is>
          <t>Île-de-France</t>
        </is>
      </c>
      <c r="D480" t="inlineStr">
        <is>
          <t>materiel</t>
        </is>
      </c>
      <c r="E480" t="inlineStr">
        <is>
          <t>crédit-bail</t>
        </is>
      </c>
      <c r="F480" t="inlineStr">
        <is>
          <t>2026-03-07</t>
        </is>
      </c>
      <c r="G480" s="4" t="n">
        <v>151083.21</v>
      </c>
      <c r="H480" s="4">
        <f>MAX(0,G480-SUMIFS('Paiements contrat'!$B:$B,'Paiements contrat'!$A:$A,A480))</f>
        <v/>
      </c>
      <c r="I480" s="4" t="n">
        <v>151083.21</v>
      </c>
      <c r="J480" t="inlineStr">
        <is>
          <t>actif</t>
        </is>
      </c>
    </row>
    <row r="481">
      <c r="A481" t="inlineStr">
        <is>
          <t>CTR-00487</t>
        </is>
      </c>
      <c r="B481" t="inlineStr">
        <is>
          <t>CLI-00386</t>
        </is>
      </c>
      <c r="C481" t="inlineStr">
        <is>
          <t>Guadeloupe</t>
        </is>
      </c>
      <c r="D481" t="inlineStr">
        <is>
          <t>auto</t>
        </is>
      </c>
      <c r="E481" t="inlineStr">
        <is>
          <t>LLD</t>
        </is>
      </c>
      <c r="F481" t="inlineStr">
        <is>
          <t>2024-08-19</t>
        </is>
      </c>
      <c r="G481" s="4" t="n">
        <v>14823.86</v>
      </c>
      <c r="H481" s="4">
        <f>MAX(0,G481-SUMIFS('Paiements contrat'!$B:$B,'Paiements contrat'!$A:$A,A481))</f>
        <v/>
      </c>
      <c r="I481" s="4" t="n">
        <v>3503.286044591119</v>
      </c>
      <c r="J481" t="inlineStr">
        <is>
          <t>actif</t>
        </is>
      </c>
    </row>
    <row r="482">
      <c r="A482" t="inlineStr">
        <is>
          <t>CTR-00488</t>
        </is>
      </c>
      <c r="B482" t="inlineStr">
        <is>
          <t>CLI-01420</t>
        </is>
      </c>
      <c r="C482" t="inlineStr">
        <is>
          <t>Île-de-France</t>
        </is>
      </c>
      <c r="D482" t="inlineStr">
        <is>
          <t>auto</t>
        </is>
      </c>
      <c r="E482" t="inlineStr">
        <is>
          <t>LOA</t>
        </is>
      </c>
      <c r="F482" t="inlineStr">
        <is>
          <t>2024-12-02</t>
        </is>
      </c>
      <c r="G482" s="4" t="n">
        <v>49090.35</v>
      </c>
      <c r="H482" s="4">
        <f>MAX(0,G482-SUMIFS('Paiements contrat'!$B:$B,'Paiements contrat'!$A:$A,A482))</f>
        <v/>
      </c>
      <c r="I482" s="4" t="n">
        <v>38238.37841435931</v>
      </c>
      <c r="J482" t="inlineStr">
        <is>
          <t>actif</t>
        </is>
      </c>
    </row>
    <row r="483">
      <c r="A483" t="inlineStr">
        <is>
          <t>CTR-00489</t>
        </is>
      </c>
      <c r="B483" t="inlineStr">
        <is>
          <t>CLI-01209</t>
        </is>
      </c>
      <c r="C483" t="inlineStr">
        <is>
          <t>Île-de-France</t>
        </is>
      </c>
      <c r="D483" t="inlineStr">
        <is>
          <t>auto</t>
        </is>
      </c>
      <c r="E483" t="inlineStr">
        <is>
          <t>LOA</t>
        </is>
      </c>
      <c r="F483" t="inlineStr">
        <is>
          <t>2025-09-21</t>
        </is>
      </c>
      <c r="G483" s="4" t="n">
        <v>71178.83</v>
      </c>
      <c r="H483" s="4">
        <f>MAX(0,G483-SUMIFS('Paiements contrat'!$B:$B,'Paiements contrat'!$A:$A,A483))</f>
        <v/>
      </c>
      <c r="I483" s="4" t="n">
        <v>56722.87</v>
      </c>
      <c r="J483" t="inlineStr">
        <is>
          <t>actif</t>
        </is>
      </c>
    </row>
    <row r="484">
      <c r="A484" t="inlineStr">
        <is>
          <t>CTR-00490</t>
        </is>
      </c>
      <c r="B484" t="inlineStr">
        <is>
          <t>CLI-00981</t>
        </is>
      </c>
      <c r="C484" t="inlineStr">
        <is>
          <t>Île-de-France</t>
        </is>
      </c>
      <c r="D484" t="inlineStr">
        <is>
          <t>auto</t>
        </is>
      </c>
      <c r="E484" t="inlineStr">
        <is>
          <t>LLD</t>
        </is>
      </c>
      <c r="F484" t="inlineStr">
        <is>
          <t>2024-10-04</t>
        </is>
      </c>
      <c r="G484" s="4" t="n">
        <v>29999.63</v>
      </c>
      <c r="H484" s="4">
        <f>MAX(0,G484-SUMIFS('Paiements contrat'!$B:$B,'Paiements contrat'!$A:$A,A484))</f>
        <v/>
      </c>
      <c r="I484" s="4" t="n">
        <v>17879.84237128561</v>
      </c>
      <c r="J484" t="inlineStr">
        <is>
          <t>contentieux</t>
        </is>
      </c>
    </row>
    <row r="485">
      <c r="A485" t="inlineStr">
        <is>
          <t>CTR-00491</t>
        </is>
      </c>
      <c r="B485" t="inlineStr">
        <is>
          <t>CLI-00631</t>
        </is>
      </c>
      <c r="C485" t="inlineStr">
        <is>
          <t>Île-de-France</t>
        </is>
      </c>
      <c r="D485" t="inlineStr">
        <is>
          <t>auto</t>
        </is>
      </c>
      <c r="E485" t="inlineStr">
        <is>
          <t>LLD</t>
        </is>
      </c>
      <c r="F485" t="inlineStr">
        <is>
          <t>2025-09-25</t>
        </is>
      </c>
      <c r="G485" s="4" t="n">
        <v>43663.44</v>
      </c>
      <c r="H485" s="4">
        <f>MAX(0,G485-SUMIFS('Paiements contrat'!$B:$B,'Paiements contrat'!$A:$A,A485))</f>
        <v/>
      </c>
      <c r="I485" s="4" t="n">
        <v>29550.92</v>
      </c>
      <c r="J485" t="inlineStr">
        <is>
          <t>actif</t>
        </is>
      </c>
    </row>
    <row r="486">
      <c r="A486" t="inlineStr">
        <is>
          <t>CTR-00492</t>
        </is>
      </c>
      <c r="B486" t="inlineStr">
        <is>
          <t>CLI-00905</t>
        </is>
      </c>
      <c r="C486" t="inlineStr">
        <is>
          <t>Île-de-France</t>
        </is>
      </c>
      <c r="D486" t="inlineStr">
        <is>
          <t>materiel</t>
        </is>
      </c>
      <c r="E486" t="inlineStr">
        <is>
          <t>crédit-bail</t>
        </is>
      </c>
      <c r="F486" t="inlineStr">
        <is>
          <t>2024-08-18</t>
        </is>
      </c>
      <c r="G486" s="4" t="n">
        <v>19377.6</v>
      </c>
      <c r="H486" s="4">
        <f>MAX(0,G486-SUMIFS('Paiements contrat'!$B:$B,'Paiements contrat'!$A:$A,A486))</f>
        <v/>
      </c>
      <c r="I486" s="4" t="n">
        <v>5750.409999999998</v>
      </c>
      <c r="J486" t="inlineStr">
        <is>
          <t>actif</t>
        </is>
      </c>
    </row>
    <row r="487">
      <c r="A487" t="inlineStr">
        <is>
          <t>CTR-00493</t>
        </is>
      </c>
      <c r="B487" t="inlineStr">
        <is>
          <t>CLI-01273</t>
        </is>
      </c>
      <c r="C487" t="inlineStr">
        <is>
          <t>Martinique</t>
        </is>
      </c>
      <c r="D487" t="inlineStr">
        <is>
          <t>materiel</t>
        </is>
      </c>
      <c r="E487" t="inlineStr">
        <is>
          <t>crédit-bail</t>
        </is>
      </c>
      <c r="F487" t="inlineStr">
        <is>
          <t>2024-04-26</t>
        </is>
      </c>
      <c r="G487" s="4" t="n">
        <v>150779.08</v>
      </c>
      <c r="H487" s="4">
        <f>MAX(0,G487-SUMIFS('Paiements contrat'!$B:$B,'Paiements contrat'!$A:$A,A487))</f>
        <v/>
      </c>
      <c r="I487" s="4" t="n">
        <v>61128.31999999999</v>
      </c>
      <c r="J487" t="inlineStr">
        <is>
          <t>actif</t>
        </is>
      </c>
    </row>
    <row r="488">
      <c r="A488" t="inlineStr">
        <is>
          <t>CTR-00494</t>
        </is>
      </c>
      <c r="B488" t="inlineStr">
        <is>
          <t>CLI-01371</t>
        </is>
      </c>
      <c r="C488" t="inlineStr">
        <is>
          <t>Île-de-France</t>
        </is>
      </c>
      <c r="D488" t="inlineStr">
        <is>
          <t>auto</t>
        </is>
      </c>
      <c r="E488" t="inlineStr">
        <is>
          <t>LOA</t>
        </is>
      </c>
      <c r="F488" t="inlineStr">
        <is>
          <t>2025-04-04</t>
        </is>
      </c>
      <c r="G488" s="4" t="n">
        <v>46569.67</v>
      </c>
      <c r="H488" s="4">
        <f>MAX(0,G488-SUMIFS('Paiements contrat'!$B:$B,'Paiements contrat'!$A:$A,A488))</f>
        <v/>
      </c>
      <c r="I488" s="4" t="n">
        <v>21040.89</v>
      </c>
      <c r="J488" t="inlineStr">
        <is>
          <t>actif</t>
        </is>
      </c>
    </row>
    <row r="489">
      <c r="A489" t="inlineStr">
        <is>
          <t>CTR-00495</t>
        </is>
      </c>
      <c r="B489" t="inlineStr">
        <is>
          <t>CLI-00955</t>
        </is>
      </c>
      <c r="C489" t="inlineStr">
        <is>
          <t>Réunion</t>
        </is>
      </c>
      <c r="D489" t="inlineStr">
        <is>
          <t>bateau</t>
        </is>
      </c>
      <c r="E489" t="inlineStr">
        <is>
          <t>LOA</t>
        </is>
      </c>
      <c r="F489" t="inlineStr">
        <is>
          <t>2024-08-23</t>
        </is>
      </c>
      <c r="G489" s="4" t="n">
        <v>40926.22</v>
      </c>
      <c r="H489" s="4">
        <f>MAX(0,G489-SUMIFS('Paiements contrat'!$B:$B,'Paiements contrat'!$A:$A,A489))</f>
        <v/>
      </c>
      <c r="I489" s="4" t="n">
        <v>21142.72</v>
      </c>
      <c r="J489" t="inlineStr">
        <is>
          <t>actif</t>
        </is>
      </c>
    </row>
    <row r="490">
      <c r="A490" t="inlineStr">
        <is>
          <t>CTR-00496</t>
        </is>
      </c>
      <c r="B490" t="inlineStr">
        <is>
          <t>CLI-00906</t>
        </is>
      </c>
      <c r="C490" t="inlineStr">
        <is>
          <t>Île-de-France</t>
        </is>
      </c>
      <c r="D490" t="inlineStr">
        <is>
          <t>auto</t>
        </is>
      </c>
      <c r="E490" t="inlineStr">
        <is>
          <t>LOA</t>
        </is>
      </c>
      <c r="F490" t="inlineStr">
        <is>
          <t>2025-01-24</t>
        </is>
      </c>
      <c r="G490" s="4" t="n">
        <v>24188</v>
      </c>
      <c r="H490" s="4">
        <f>MAX(0,G490-SUMIFS('Paiements contrat'!$B:$B,'Paiements contrat'!$A:$A,A490))</f>
        <v/>
      </c>
      <c r="I490" s="4" t="n">
        <v>10933.10628743941</v>
      </c>
      <c r="J490" t="inlineStr">
        <is>
          <t>actif</t>
        </is>
      </c>
    </row>
    <row r="491">
      <c r="A491" t="inlineStr">
        <is>
          <t>CTR-00497</t>
        </is>
      </c>
      <c r="B491" t="inlineStr">
        <is>
          <t>CLI-00440</t>
        </is>
      </c>
      <c r="C491" t="inlineStr">
        <is>
          <t>Réunion</t>
        </is>
      </c>
      <c r="D491" t="inlineStr">
        <is>
          <t>auto</t>
        </is>
      </c>
      <c r="E491" t="inlineStr">
        <is>
          <t>LLD</t>
        </is>
      </c>
      <c r="F491" t="inlineStr">
        <is>
          <t>2024-05-19</t>
        </is>
      </c>
      <c r="G491" s="4" t="n">
        <v>53370.63</v>
      </c>
      <c r="H491" s="4">
        <f>MAX(0,G491-SUMIFS('Paiements contrat'!$B:$B,'Paiements contrat'!$A:$A,A491))</f>
        <v/>
      </c>
      <c r="I491" s="4" t="n">
        <v>9045.129999999997</v>
      </c>
      <c r="J491" t="inlineStr">
        <is>
          <t>actif</t>
        </is>
      </c>
    </row>
    <row r="492">
      <c r="A492" t="inlineStr">
        <is>
          <t>CTR-00498</t>
        </is>
      </c>
      <c r="B492" t="inlineStr">
        <is>
          <t>CLI-01406</t>
        </is>
      </c>
      <c r="C492" t="inlineStr">
        <is>
          <t>Île-de-France</t>
        </is>
      </c>
      <c r="D492" t="inlineStr">
        <is>
          <t>auto</t>
        </is>
      </c>
      <c r="E492" t="inlineStr">
        <is>
          <t>LOA</t>
        </is>
      </c>
      <c r="F492" t="inlineStr">
        <is>
          <t>2025-02-18</t>
        </is>
      </c>
      <c r="G492" s="4" t="n">
        <v>17144.48</v>
      </c>
      <c r="H492" s="4">
        <f>MAX(0,G492-SUMIFS('Paiements contrat'!$B:$B,'Paiements contrat'!$A:$A,A492))</f>
        <v/>
      </c>
      <c r="I492" s="4" t="n">
        <v>13950.06</v>
      </c>
      <c r="J492" t="inlineStr">
        <is>
          <t>actif</t>
        </is>
      </c>
    </row>
    <row r="493">
      <c r="A493" t="inlineStr">
        <is>
          <t>CTR-00499</t>
        </is>
      </c>
      <c r="B493" t="inlineStr">
        <is>
          <t>CLI-00318</t>
        </is>
      </c>
      <c r="C493" t="inlineStr">
        <is>
          <t>Guyane</t>
        </is>
      </c>
      <c r="D493" t="inlineStr">
        <is>
          <t>materiel</t>
        </is>
      </c>
      <c r="E493" t="inlineStr">
        <is>
          <t>crédit-bail</t>
        </is>
      </c>
      <c r="F493" t="inlineStr">
        <is>
          <t>2024-06-24</t>
        </is>
      </c>
      <c r="G493" s="4" t="n">
        <v>42721.82</v>
      </c>
      <c r="H493" s="4">
        <f>MAX(0,G493-SUMIFS('Paiements contrat'!$B:$B,'Paiements contrat'!$A:$A,A493))</f>
        <v/>
      </c>
      <c r="I493" s="4" t="n">
        <v>23095.4</v>
      </c>
      <c r="J493" t="inlineStr">
        <is>
          <t>actif</t>
        </is>
      </c>
    </row>
    <row r="494">
      <c r="A494" t="inlineStr">
        <is>
          <t>CTR-00500</t>
        </is>
      </c>
      <c r="B494" t="inlineStr">
        <is>
          <t>CLI-00845</t>
        </is>
      </c>
      <c r="C494" t="inlineStr">
        <is>
          <t>Île-de-France</t>
        </is>
      </c>
      <c r="D494" t="inlineStr">
        <is>
          <t>auto</t>
        </is>
      </c>
      <c r="E494" t="inlineStr">
        <is>
          <t>LLD</t>
        </is>
      </c>
      <c r="F494" t="inlineStr">
        <is>
          <t>2024-08-13</t>
        </is>
      </c>
      <c r="G494" s="4" t="n">
        <v>35300.53</v>
      </c>
      <c r="H494" s="4">
        <f>MAX(0,G494-SUMIFS('Paiements contrat'!$B:$B,'Paiements contrat'!$A:$A,A494))</f>
        <v/>
      </c>
      <c r="I494" s="4" t="n">
        <v>3971.27</v>
      </c>
      <c r="J494" t="inlineStr">
        <is>
          <t>soldé</t>
        </is>
      </c>
    </row>
    <row r="495">
      <c r="A495" t="inlineStr">
        <is>
          <t>CTR-00501</t>
        </is>
      </c>
      <c r="B495" t="inlineStr">
        <is>
          <t>CLI-00576</t>
        </is>
      </c>
      <c r="C495" t="inlineStr">
        <is>
          <t>Martinique</t>
        </is>
      </c>
      <c r="D495" t="inlineStr">
        <is>
          <t>auto</t>
        </is>
      </c>
      <c r="E495" t="inlineStr">
        <is>
          <t>LLD</t>
        </is>
      </c>
      <c r="F495" t="inlineStr">
        <is>
          <t>2024-10-12</t>
        </is>
      </c>
      <c r="G495" s="4" t="n">
        <v>31419.74</v>
      </c>
      <c r="H495" s="4">
        <f>MAX(0,G495-SUMIFS('Paiements contrat'!$B:$B,'Paiements contrat'!$A:$A,A495))</f>
        <v/>
      </c>
      <c r="I495" s="4" t="n">
        <v>13319.88</v>
      </c>
      <c r="J495" t="inlineStr">
        <is>
          <t>actif</t>
        </is>
      </c>
    </row>
    <row r="496">
      <c r="A496" t="inlineStr">
        <is>
          <t>CTR-00502</t>
        </is>
      </c>
      <c r="B496" t="inlineStr">
        <is>
          <t>CLI-00275</t>
        </is>
      </c>
      <c r="C496" t="inlineStr">
        <is>
          <t>Île-de-France</t>
        </is>
      </c>
      <c r="D496" t="inlineStr">
        <is>
          <t>auto</t>
        </is>
      </c>
      <c r="E496" t="inlineStr">
        <is>
          <t>LOA</t>
        </is>
      </c>
      <c r="F496" t="inlineStr">
        <is>
          <t>2024-12-08</t>
        </is>
      </c>
      <c r="G496" s="4" t="n">
        <v>26622.34</v>
      </c>
      <c r="H496" s="4">
        <f>MAX(0,G496-SUMIFS('Paiements contrat'!$B:$B,'Paiements contrat'!$A:$A,A496))</f>
        <v/>
      </c>
      <c r="I496" s="4" t="n">
        <v>11586.49</v>
      </c>
      <c r="J496" t="inlineStr">
        <is>
          <t>actif</t>
        </is>
      </c>
    </row>
    <row r="497">
      <c r="A497" t="inlineStr">
        <is>
          <t>CTR-00503</t>
        </is>
      </c>
      <c r="B497" t="inlineStr">
        <is>
          <t>CLI-01474</t>
        </is>
      </c>
      <c r="C497" t="inlineStr">
        <is>
          <t>Guadeloupe</t>
        </is>
      </c>
      <c r="D497" t="inlineStr">
        <is>
          <t>auto</t>
        </is>
      </c>
      <c r="E497" t="inlineStr">
        <is>
          <t>LOA</t>
        </is>
      </c>
      <c r="F497" t="inlineStr">
        <is>
          <t>2026-03-08</t>
        </is>
      </c>
      <c r="G497" s="4" t="n">
        <v>31598.24</v>
      </c>
      <c r="H497" s="4">
        <f>MAX(0,G497-SUMIFS('Paiements contrat'!$B:$B,'Paiements contrat'!$A:$A,A497))</f>
        <v/>
      </c>
      <c r="I497" s="4" t="n">
        <v>31598.24</v>
      </c>
      <c r="J497" t="inlineStr">
        <is>
          <t>actif</t>
        </is>
      </c>
    </row>
    <row r="498">
      <c r="A498" t="inlineStr">
        <is>
          <t>CTR-00504</t>
        </is>
      </c>
      <c r="B498" t="inlineStr">
        <is>
          <t>CLI-00069</t>
        </is>
      </c>
      <c r="C498" t="inlineStr">
        <is>
          <t>Île-de-France</t>
        </is>
      </c>
      <c r="D498" t="inlineStr">
        <is>
          <t>auto</t>
        </is>
      </c>
      <c r="E498" t="inlineStr">
        <is>
          <t>LOA</t>
        </is>
      </c>
      <c r="F498" t="inlineStr">
        <is>
          <t>2024-09-08</t>
        </is>
      </c>
      <c r="G498" s="4" t="n">
        <v>47850.17</v>
      </c>
      <c r="H498" s="4">
        <f>MAX(0,G498-SUMIFS('Paiements contrat'!$B:$B,'Paiements contrat'!$A:$A,A498))</f>
        <v/>
      </c>
      <c r="I498" s="4" t="n">
        <v>6049.788937823832</v>
      </c>
      <c r="J498" t="inlineStr">
        <is>
          <t>soldé</t>
        </is>
      </c>
    </row>
    <row r="499">
      <c r="A499" t="inlineStr">
        <is>
          <t>CTR-00505</t>
        </is>
      </c>
      <c r="B499" t="inlineStr">
        <is>
          <t>CLI-01323</t>
        </is>
      </c>
      <c r="C499" t="inlineStr">
        <is>
          <t>Réunion</t>
        </is>
      </c>
      <c r="D499" t="inlineStr">
        <is>
          <t>auto</t>
        </is>
      </c>
      <c r="E499" t="inlineStr">
        <is>
          <t>LOA</t>
        </is>
      </c>
      <c r="F499" t="inlineStr">
        <is>
          <t>2025-01-20</t>
        </is>
      </c>
      <c r="G499" s="4" t="n">
        <v>15691.69</v>
      </c>
      <c r="H499" s="4">
        <f>MAX(0,G499-SUMIFS('Paiements contrat'!$B:$B,'Paiements contrat'!$A:$A,A499))</f>
        <v/>
      </c>
      <c r="I499" s="4" t="n">
        <v>6720.360000000001</v>
      </c>
      <c r="J499" t="inlineStr">
        <is>
          <t>actif</t>
        </is>
      </c>
    </row>
    <row r="500">
      <c r="A500" t="inlineStr">
        <is>
          <t>CTR-00506</t>
        </is>
      </c>
      <c r="B500" t="inlineStr">
        <is>
          <t>CLI-01087</t>
        </is>
      </c>
      <c r="C500" t="inlineStr">
        <is>
          <t>Île-de-France</t>
        </is>
      </c>
      <c r="D500" t="inlineStr">
        <is>
          <t>auto</t>
        </is>
      </c>
      <c r="E500" t="inlineStr">
        <is>
          <t>LOA</t>
        </is>
      </c>
      <c r="F500" t="inlineStr">
        <is>
          <t>2025-01-07</t>
        </is>
      </c>
      <c r="G500" s="4" t="n">
        <v>12066.71</v>
      </c>
      <c r="H500" s="4">
        <f>MAX(0,G500-SUMIFS('Paiements contrat'!$B:$B,'Paiements contrat'!$A:$A,A500))</f>
        <v/>
      </c>
      <c r="I500" s="4" t="n">
        <v>9187.769999999999</v>
      </c>
      <c r="J500" t="inlineStr">
        <is>
          <t>actif</t>
        </is>
      </c>
    </row>
    <row r="501">
      <c r="A501" t="inlineStr">
        <is>
          <t>CTR-00507</t>
        </is>
      </c>
      <c r="B501" t="inlineStr">
        <is>
          <t>CLI-00391</t>
        </is>
      </c>
      <c r="C501" t="inlineStr">
        <is>
          <t>Île-de-France</t>
        </is>
      </c>
      <c r="D501" t="inlineStr">
        <is>
          <t>auto</t>
        </is>
      </c>
      <c r="E501" t="inlineStr">
        <is>
          <t>LOA</t>
        </is>
      </c>
      <c r="F501" t="inlineStr">
        <is>
          <t>2025-11-16</t>
        </is>
      </c>
      <c r="G501" s="4" t="n">
        <v>23021.49</v>
      </c>
      <c r="H501" s="4">
        <f>MAX(0,G501-SUMIFS('Paiements contrat'!$B:$B,'Paiements contrat'!$A:$A,A501))</f>
        <v/>
      </c>
      <c r="I501" s="4" t="n">
        <v>20655.81</v>
      </c>
      <c r="J501" t="inlineStr">
        <is>
          <t>contentieux</t>
        </is>
      </c>
    </row>
    <row r="502">
      <c r="A502" t="inlineStr">
        <is>
          <t>CTR-00508</t>
        </is>
      </c>
      <c r="B502" t="inlineStr">
        <is>
          <t>CLI-00104</t>
        </is>
      </c>
      <c r="C502" t="inlineStr">
        <is>
          <t>Île-de-France</t>
        </is>
      </c>
      <c r="D502" t="inlineStr">
        <is>
          <t>auto</t>
        </is>
      </c>
      <c r="E502" t="inlineStr">
        <is>
          <t>LOA</t>
        </is>
      </c>
      <c r="F502" t="inlineStr">
        <is>
          <t>2025-02-08</t>
        </is>
      </c>
      <c r="G502" s="4" t="n">
        <v>44132.2</v>
      </c>
      <c r="H502" s="4">
        <f>MAX(0,G502-SUMIFS('Paiements contrat'!$B:$B,'Paiements contrat'!$A:$A,A502))</f>
        <v/>
      </c>
      <c r="I502" s="4" t="n">
        <v>9261.473905673796</v>
      </c>
      <c r="J502" t="inlineStr">
        <is>
          <t>soldé</t>
        </is>
      </c>
    </row>
    <row r="503">
      <c r="A503" t="inlineStr">
        <is>
          <t>CTR-00509</t>
        </is>
      </c>
      <c r="B503" t="inlineStr">
        <is>
          <t>CLI-00947</t>
        </is>
      </c>
      <c r="C503" t="inlineStr">
        <is>
          <t>Île-de-France</t>
        </is>
      </c>
      <c r="D503" t="inlineStr">
        <is>
          <t>auto</t>
        </is>
      </c>
      <c r="E503" t="inlineStr">
        <is>
          <t>LLD</t>
        </is>
      </c>
      <c r="F503" t="inlineStr">
        <is>
          <t>2025-06-17</t>
        </is>
      </c>
      <c r="G503" s="4" t="n">
        <v>65483.32</v>
      </c>
      <c r="H503" s="4">
        <f>MAX(0,G503-SUMIFS('Paiements contrat'!$B:$B,'Paiements contrat'!$A:$A,A503))</f>
        <v/>
      </c>
      <c r="I503" s="4" t="n">
        <v>16916.78</v>
      </c>
      <c r="J503" t="inlineStr">
        <is>
          <t>actif</t>
        </is>
      </c>
    </row>
    <row r="504">
      <c r="A504" t="inlineStr">
        <is>
          <t>CTR-00510</t>
        </is>
      </c>
      <c r="B504" t="inlineStr">
        <is>
          <t>CLI-00360</t>
        </is>
      </c>
      <c r="C504" t="inlineStr">
        <is>
          <t>Guadeloupe</t>
        </is>
      </c>
      <c r="D504" t="inlineStr">
        <is>
          <t>bateau</t>
        </is>
      </c>
      <c r="E504" t="inlineStr">
        <is>
          <t>LOA</t>
        </is>
      </c>
      <c r="F504" t="inlineStr">
        <is>
          <t>2025-04-26</t>
        </is>
      </c>
      <c r="G504" s="4" t="n">
        <v>65153.7</v>
      </c>
      <c r="H504" s="4">
        <f>MAX(0,G504-SUMIFS('Paiements contrat'!$B:$B,'Paiements contrat'!$A:$A,A504))</f>
        <v/>
      </c>
      <c r="I504" s="4" t="n">
        <v>54905.91</v>
      </c>
      <c r="J504" t="inlineStr">
        <is>
          <t>actif</t>
        </is>
      </c>
    </row>
    <row r="505">
      <c r="A505" t="inlineStr">
        <is>
          <t>CTR-00511</t>
        </is>
      </c>
      <c r="B505" t="inlineStr">
        <is>
          <t>CLI-00970</t>
        </is>
      </c>
      <c r="C505" t="inlineStr">
        <is>
          <t>Île-de-France</t>
        </is>
      </c>
      <c r="D505" t="inlineStr">
        <is>
          <t>auto</t>
        </is>
      </c>
      <c r="E505" t="inlineStr">
        <is>
          <t>LOA</t>
        </is>
      </c>
      <c r="F505" t="inlineStr">
        <is>
          <t>2024-10-21</t>
        </is>
      </c>
      <c r="G505" s="4" t="n">
        <v>52820.11</v>
      </c>
      <c r="H505" s="4">
        <f>MAX(0,G505-SUMIFS('Paiements contrat'!$B:$B,'Paiements contrat'!$A:$A,A505))</f>
        <v/>
      </c>
      <c r="I505" s="4" t="n">
        <v>31063.22</v>
      </c>
      <c r="J505" t="inlineStr">
        <is>
          <t>actif</t>
        </is>
      </c>
    </row>
    <row r="506">
      <c r="A506" t="inlineStr">
        <is>
          <t>CTR-00512</t>
        </is>
      </c>
      <c r="B506" t="inlineStr">
        <is>
          <t>CLI-01016</t>
        </is>
      </c>
      <c r="C506" t="inlineStr">
        <is>
          <t>Île-de-France</t>
        </is>
      </c>
      <c r="D506" t="inlineStr">
        <is>
          <t>auto</t>
        </is>
      </c>
      <c r="E506" t="inlineStr">
        <is>
          <t>LOA</t>
        </is>
      </c>
      <c r="F506" t="inlineStr">
        <is>
          <t>2025-04-12</t>
        </is>
      </c>
      <c r="G506" s="4" t="n">
        <v>57640.42</v>
      </c>
      <c r="H506" s="4">
        <f>MAX(0,G506-SUMIFS('Paiements contrat'!$B:$B,'Paiements contrat'!$A:$A,A506))</f>
        <v/>
      </c>
      <c r="I506" s="4" t="n">
        <v>45011.83078205361</v>
      </c>
      <c r="J506" t="inlineStr">
        <is>
          <t>actif</t>
        </is>
      </c>
    </row>
    <row r="507">
      <c r="A507" t="inlineStr">
        <is>
          <t>CTR-00513</t>
        </is>
      </c>
      <c r="B507" t="inlineStr">
        <is>
          <t>CLI-00972</t>
        </is>
      </c>
      <c r="C507" t="inlineStr">
        <is>
          <t>Île-de-France</t>
        </is>
      </c>
      <c r="D507" t="inlineStr">
        <is>
          <t>auto</t>
        </is>
      </c>
      <c r="E507" t="inlineStr">
        <is>
          <t>LLD</t>
        </is>
      </c>
      <c r="F507" t="inlineStr">
        <is>
          <t>2025-05-02</t>
        </is>
      </c>
      <c r="G507" s="4" t="n">
        <v>38240.78</v>
      </c>
      <c r="H507" s="4">
        <f>MAX(0,G507-SUMIFS('Paiements contrat'!$B:$B,'Paiements contrat'!$A:$A,A507))</f>
        <v/>
      </c>
      <c r="I507" s="4" t="n">
        <v>28077.77</v>
      </c>
      <c r="J507" t="inlineStr">
        <is>
          <t>actif</t>
        </is>
      </c>
    </row>
    <row r="508">
      <c r="A508" t="inlineStr">
        <is>
          <t>CTR-00514</t>
        </is>
      </c>
      <c r="B508" t="inlineStr">
        <is>
          <t>CLI-01093</t>
        </is>
      </c>
      <c r="C508" t="inlineStr">
        <is>
          <t>Guyane</t>
        </is>
      </c>
      <c r="D508" t="inlineStr">
        <is>
          <t>materiel</t>
        </is>
      </c>
      <c r="E508" t="inlineStr">
        <is>
          <t>crédit-bail</t>
        </is>
      </c>
      <c r="F508" t="inlineStr">
        <is>
          <t>2024-10-27</t>
        </is>
      </c>
      <c r="G508" s="4" t="n">
        <v>155588.59</v>
      </c>
      <c r="H508" s="4">
        <f>MAX(0,G508-SUMIFS('Paiements contrat'!$B:$B,'Paiements contrat'!$A:$A,A508))</f>
        <v/>
      </c>
      <c r="I508" s="4" t="n">
        <v>38862.06</v>
      </c>
      <c r="J508" t="inlineStr">
        <is>
          <t>soldé</t>
        </is>
      </c>
    </row>
    <row r="509">
      <c r="A509" t="inlineStr">
        <is>
          <t>CTR-00515</t>
        </is>
      </c>
      <c r="B509" t="inlineStr">
        <is>
          <t>CLI-00920</t>
        </is>
      </c>
      <c r="C509" t="inlineStr">
        <is>
          <t>Île-de-France</t>
        </is>
      </c>
      <c r="D509" t="inlineStr">
        <is>
          <t>materiel</t>
        </is>
      </c>
      <c r="E509" t="inlineStr">
        <is>
          <t>crédit-bail</t>
        </is>
      </c>
      <c r="F509" t="inlineStr">
        <is>
          <t>2024-04-14</t>
        </is>
      </c>
      <c r="G509" s="4" t="n">
        <v>140597.13</v>
      </c>
      <c r="H509" s="4">
        <f>MAX(0,G509-SUMIFS('Paiements contrat'!$B:$B,'Paiements contrat'!$A:$A,A509))</f>
        <v/>
      </c>
      <c r="I509" s="4" t="n">
        <v>56581.85000000001</v>
      </c>
      <c r="J509" t="inlineStr">
        <is>
          <t>actif</t>
        </is>
      </c>
    </row>
    <row r="510">
      <c r="A510" t="inlineStr">
        <is>
          <t>CTR-00516</t>
        </is>
      </c>
      <c r="B510" t="inlineStr">
        <is>
          <t>CLI-00528</t>
        </is>
      </c>
      <c r="C510" t="inlineStr">
        <is>
          <t>Île-de-France</t>
        </is>
      </c>
      <c r="D510" t="inlineStr">
        <is>
          <t>auto</t>
        </is>
      </c>
      <c r="E510" t="inlineStr">
        <is>
          <t>LOA</t>
        </is>
      </c>
      <c r="F510" t="inlineStr">
        <is>
          <t>2024-08-17</t>
        </is>
      </c>
      <c r="G510" s="4" t="n">
        <v>44483.34</v>
      </c>
      <c r="H510" s="4">
        <f>MAX(0,G510-SUMIFS('Paiements contrat'!$B:$B,'Paiements contrat'!$A:$A,A510))</f>
        <v/>
      </c>
      <c r="I510" s="4" t="n">
        <v>32774.53169896921</v>
      </c>
      <c r="J510" t="inlineStr">
        <is>
          <t>actif</t>
        </is>
      </c>
    </row>
    <row r="511">
      <c r="A511" t="inlineStr">
        <is>
          <t>CTR-00517</t>
        </is>
      </c>
      <c r="B511" t="inlineStr">
        <is>
          <t>CLI-00655</t>
        </is>
      </c>
      <c r="C511" t="inlineStr">
        <is>
          <t>Île-de-France</t>
        </is>
      </c>
      <c r="D511" t="inlineStr">
        <is>
          <t>auto</t>
        </is>
      </c>
      <c r="E511" t="inlineStr">
        <is>
          <t>LOA</t>
        </is>
      </c>
      <c r="F511" t="inlineStr">
        <is>
          <t>2025-09-06</t>
        </is>
      </c>
      <c r="G511" s="4" t="n">
        <v>66620.44</v>
      </c>
      <c r="H511" s="4">
        <f>MAX(0,G511-SUMIFS('Paiements contrat'!$B:$B,'Paiements contrat'!$A:$A,A511))</f>
        <v/>
      </c>
      <c r="I511" s="4" t="n">
        <v>50976</v>
      </c>
      <c r="J511" t="inlineStr">
        <is>
          <t>actif</t>
        </is>
      </c>
    </row>
    <row r="512">
      <c r="A512" t="inlineStr">
        <is>
          <t>CTR-00518</t>
        </is>
      </c>
      <c r="B512" t="inlineStr">
        <is>
          <t>CLI-00860</t>
        </is>
      </c>
      <c r="C512" t="inlineStr">
        <is>
          <t>Île-de-France</t>
        </is>
      </c>
      <c r="D512" t="inlineStr">
        <is>
          <t>materiel</t>
        </is>
      </c>
      <c r="E512" t="inlineStr">
        <is>
          <t>crédit-bail</t>
        </is>
      </c>
      <c r="F512" t="inlineStr">
        <is>
          <t>2024-11-11</t>
        </is>
      </c>
      <c r="G512" s="4" t="n">
        <v>111883.92</v>
      </c>
      <c r="H512" s="4">
        <f>MAX(0,G512-SUMIFS('Paiements contrat'!$B:$B,'Paiements contrat'!$A:$A,A512))</f>
        <v/>
      </c>
      <c r="I512" s="4" t="n">
        <v>37996.7</v>
      </c>
      <c r="J512" t="inlineStr">
        <is>
          <t>actif</t>
        </is>
      </c>
    </row>
    <row r="513">
      <c r="A513" t="inlineStr">
        <is>
          <t>CTR-00519</t>
        </is>
      </c>
      <c r="B513" t="inlineStr">
        <is>
          <t>CLI-00829</t>
        </is>
      </c>
      <c r="C513" t="inlineStr">
        <is>
          <t>Île-de-France</t>
        </is>
      </c>
      <c r="D513" t="inlineStr">
        <is>
          <t>materiel</t>
        </is>
      </c>
      <c r="E513" t="inlineStr">
        <is>
          <t>crédit-bail</t>
        </is>
      </c>
      <c r="F513" t="inlineStr">
        <is>
          <t>2025-05-07</t>
        </is>
      </c>
      <c r="G513" s="4" t="n">
        <v>11412.77</v>
      </c>
      <c r="H513" s="4">
        <f>MAX(0,G513-SUMIFS('Paiements contrat'!$B:$B,'Paiements contrat'!$A:$A,A513))</f>
        <v/>
      </c>
      <c r="I513" s="4" t="n">
        <v>9791.629028925621</v>
      </c>
      <c r="J513" t="inlineStr">
        <is>
          <t>actif</t>
        </is>
      </c>
    </row>
    <row r="514">
      <c r="A514" t="inlineStr">
        <is>
          <t>CTR-00520</t>
        </is>
      </c>
      <c r="B514" t="inlineStr">
        <is>
          <t>CLI-01283</t>
        </is>
      </c>
      <c r="C514" t="inlineStr">
        <is>
          <t>Île-de-France</t>
        </is>
      </c>
      <c r="D514" t="inlineStr">
        <is>
          <t>materiel</t>
        </is>
      </c>
      <c r="E514" t="inlineStr">
        <is>
          <t>crédit-bail</t>
        </is>
      </c>
      <c r="F514" t="inlineStr">
        <is>
          <t>2025-06-10</t>
        </is>
      </c>
      <c r="G514" s="4" t="n">
        <v>91487.05</v>
      </c>
      <c r="H514" s="4">
        <f>MAX(0,G514-SUMIFS('Paiements contrat'!$B:$B,'Paiements contrat'!$A:$A,A514))</f>
        <v/>
      </c>
      <c r="I514" s="4" t="n">
        <v>57780.65</v>
      </c>
      <c r="J514" t="inlineStr">
        <is>
          <t>actif</t>
        </is>
      </c>
    </row>
    <row r="515">
      <c r="A515" t="inlineStr">
        <is>
          <t>CTR-00521</t>
        </is>
      </c>
      <c r="B515" t="inlineStr">
        <is>
          <t>CLI-00598</t>
        </is>
      </c>
      <c r="C515" t="inlineStr">
        <is>
          <t>Guadeloupe</t>
        </is>
      </c>
      <c r="D515" t="inlineStr">
        <is>
          <t>materiel</t>
        </is>
      </c>
      <c r="E515" t="inlineStr">
        <is>
          <t>crédit-bail</t>
        </is>
      </c>
      <c r="F515" t="inlineStr">
        <is>
          <t>2025-12-02</t>
        </is>
      </c>
      <c r="G515" s="4" t="n">
        <v>73937.21000000001</v>
      </c>
      <c r="H515" s="4">
        <f>MAX(0,G515-SUMIFS('Paiements contrat'!$B:$B,'Paiements contrat'!$A:$A,A515))</f>
        <v/>
      </c>
      <c r="I515" s="4" t="n">
        <v>71078.92000000001</v>
      </c>
      <c r="J515" t="inlineStr">
        <is>
          <t>actif</t>
        </is>
      </c>
    </row>
    <row r="516">
      <c r="A516" t="inlineStr">
        <is>
          <t>CTR-00522</t>
        </is>
      </c>
      <c r="B516" t="inlineStr">
        <is>
          <t>CLI-00136</t>
        </is>
      </c>
      <c r="C516" t="inlineStr">
        <is>
          <t>Île-de-France</t>
        </is>
      </c>
      <c r="D516" t="inlineStr">
        <is>
          <t>materiel</t>
        </is>
      </c>
      <c r="E516" t="inlineStr">
        <is>
          <t>crédit-bail</t>
        </is>
      </c>
      <c r="F516" t="inlineStr">
        <is>
          <t>2026-03-22</t>
        </is>
      </c>
      <c r="G516" s="4" t="n">
        <v>87258.97</v>
      </c>
      <c r="H516" s="4">
        <f>MAX(0,G516-SUMIFS('Paiements contrat'!$B:$B,'Paiements contrat'!$A:$A,A516))</f>
        <v/>
      </c>
      <c r="I516" s="4" t="n">
        <v>87258.97</v>
      </c>
      <c r="J516" t="inlineStr">
        <is>
          <t>actif</t>
        </is>
      </c>
    </row>
    <row r="517">
      <c r="A517" t="inlineStr">
        <is>
          <t>CTR-00523</t>
        </is>
      </c>
      <c r="B517" t="inlineStr">
        <is>
          <t>CLI-01332</t>
        </is>
      </c>
      <c r="C517" t="inlineStr">
        <is>
          <t>Martinique</t>
        </is>
      </c>
      <c r="D517" t="inlineStr">
        <is>
          <t>materiel</t>
        </is>
      </c>
      <c r="E517" t="inlineStr">
        <is>
          <t>crédit-bail</t>
        </is>
      </c>
      <c r="F517" t="inlineStr">
        <is>
          <t>2025-05-19</t>
        </is>
      </c>
      <c r="G517" s="4" t="n">
        <v>101037.81</v>
      </c>
      <c r="H517" s="4">
        <f>MAX(0,G517-SUMIFS('Paiements contrat'!$B:$B,'Paiements contrat'!$A:$A,A517))</f>
        <v/>
      </c>
      <c r="I517" s="4" t="n">
        <v>64445.38</v>
      </c>
      <c r="J517" t="inlineStr">
        <is>
          <t>actif</t>
        </is>
      </c>
    </row>
    <row r="518">
      <c r="A518" t="inlineStr">
        <is>
          <t>CTR-00524</t>
        </is>
      </c>
      <c r="B518" t="inlineStr">
        <is>
          <t>CLI-01161</t>
        </is>
      </c>
      <c r="C518" t="inlineStr">
        <is>
          <t>Île-de-France</t>
        </is>
      </c>
      <c r="D518" t="inlineStr">
        <is>
          <t>bateau</t>
        </is>
      </c>
      <c r="E518" t="inlineStr">
        <is>
          <t>LOA</t>
        </is>
      </c>
      <c r="F518" t="inlineStr">
        <is>
          <t>2024-10-12</t>
        </is>
      </c>
      <c r="G518" s="4" t="n">
        <v>212438.01</v>
      </c>
      <c r="H518" s="4">
        <f>MAX(0,G518-SUMIFS('Paiements contrat'!$B:$B,'Paiements contrat'!$A:$A,A518))</f>
        <v/>
      </c>
      <c r="I518" s="4" t="n">
        <v>126132.31</v>
      </c>
      <c r="J518" t="inlineStr">
        <is>
          <t>actif</t>
        </is>
      </c>
    </row>
    <row r="519">
      <c r="A519" t="inlineStr">
        <is>
          <t>CTR-00525</t>
        </is>
      </c>
      <c r="B519" t="inlineStr">
        <is>
          <t>CLI-01102</t>
        </is>
      </c>
      <c r="C519" t="inlineStr">
        <is>
          <t>Martinique</t>
        </is>
      </c>
      <c r="D519" t="inlineStr">
        <is>
          <t>materiel</t>
        </is>
      </c>
      <c r="E519" t="inlineStr">
        <is>
          <t>crédit-bail</t>
        </is>
      </c>
      <c r="F519" t="inlineStr">
        <is>
          <t>2026-01-11</t>
        </is>
      </c>
      <c r="G519" s="4" t="n">
        <v>179382.65</v>
      </c>
      <c r="H519" s="4">
        <f>MAX(0,G519-SUMIFS('Paiements contrat'!$B:$B,'Paiements contrat'!$A:$A,A519))</f>
        <v/>
      </c>
      <c r="I519" s="4" t="n">
        <v>168138.79</v>
      </c>
      <c r="J519" t="inlineStr">
        <is>
          <t>actif</t>
        </is>
      </c>
    </row>
    <row r="520">
      <c r="A520" t="inlineStr">
        <is>
          <t>CTR-00526</t>
        </is>
      </c>
      <c r="B520" t="inlineStr">
        <is>
          <t>CLI-00136</t>
        </is>
      </c>
      <c r="C520" t="inlineStr">
        <is>
          <t>Île-de-France</t>
        </is>
      </c>
      <c r="D520" t="inlineStr">
        <is>
          <t>materiel</t>
        </is>
      </c>
      <c r="E520" t="inlineStr">
        <is>
          <t>crédit-bail</t>
        </is>
      </c>
      <c r="F520" t="inlineStr">
        <is>
          <t>2025-03-03</t>
        </is>
      </c>
      <c r="G520" s="4" t="n">
        <v>115925.97</v>
      </c>
      <c r="H520" s="4">
        <f>MAX(0,G520-SUMIFS('Paiements contrat'!$B:$B,'Paiements contrat'!$A:$A,A520))</f>
        <v/>
      </c>
      <c r="I520" s="4" t="n">
        <v>85619.72</v>
      </c>
      <c r="J520" t="inlineStr">
        <is>
          <t>actif</t>
        </is>
      </c>
    </row>
    <row r="521">
      <c r="A521" t="inlineStr">
        <is>
          <t>CTR-00527</t>
        </is>
      </c>
      <c r="B521" t="inlineStr">
        <is>
          <t>CLI-00929</t>
        </is>
      </c>
      <c r="C521" t="inlineStr">
        <is>
          <t>Île-de-France</t>
        </is>
      </c>
      <c r="D521" t="inlineStr">
        <is>
          <t>materiel</t>
        </is>
      </c>
      <c r="E521" t="inlineStr">
        <is>
          <t>crédit-bail</t>
        </is>
      </c>
      <c r="F521" t="inlineStr">
        <is>
          <t>2026-02-23</t>
        </is>
      </c>
      <c r="G521" s="4" t="n">
        <v>65069.23</v>
      </c>
      <c r="H521" s="4">
        <f>MAX(0,G521-SUMIFS('Paiements contrat'!$B:$B,'Paiements contrat'!$A:$A,A521))</f>
        <v/>
      </c>
      <c r="I521" s="4" t="n">
        <v>63809</v>
      </c>
      <c r="J521" t="inlineStr">
        <is>
          <t>actif</t>
        </is>
      </c>
    </row>
    <row r="522">
      <c r="A522" t="inlineStr">
        <is>
          <t>CTR-00528</t>
        </is>
      </c>
      <c r="B522" t="inlineStr">
        <is>
          <t>CLI-00181</t>
        </is>
      </c>
      <c r="C522" t="inlineStr">
        <is>
          <t>Réunion</t>
        </is>
      </c>
      <c r="D522" t="inlineStr">
        <is>
          <t>materiel</t>
        </is>
      </c>
      <c r="E522" t="inlineStr">
        <is>
          <t>crédit-bail</t>
        </is>
      </c>
      <c r="F522" t="inlineStr">
        <is>
          <t>2025-08-10</t>
        </is>
      </c>
      <c r="G522" s="4" t="n">
        <v>62868.01</v>
      </c>
      <c r="H522" s="4">
        <f>MAX(0,G522-SUMIFS('Paiements contrat'!$B:$B,'Paiements contrat'!$A:$A,A522))</f>
        <v/>
      </c>
      <c r="I522" s="4" t="n">
        <v>47760.19</v>
      </c>
      <c r="J522" t="inlineStr">
        <is>
          <t>actif</t>
        </is>
      </c>
    </row>
    <row r="523">
      <c r="A523" t="inlineStr">
        <is>
          <t>CTR-00529</t>
        </is>
      </c>
      <c r="B523" t="inlineStr">
        <is>
          <t>CLI-00178</t>
        </is>
      </c>
      <c r="C523" t="inlineStr">
        <is>
          <t>Guyane</t>
        </is>
      </c>
      <c r="D523" t="inlineStr">
        <is>
          <t>materiel</t>
        </is>
      </c>
      <c r="E523" t="inlineStr">
        <is>
          <t>crédit-bail</t>
        </is>
      </c>
      <c r="F523" t="inlineStr">
        <is>
          <t>2025-05-05</t>
        </is>
      </c>
      <c r="G523" s="4" t="n">
        <v>130532.07</v>
      </c>
      <c r="H523" s="4">
        <f>MAX(0,G523-SUMIFS('Paiements contrat'!$B:$B,'Paiements contrat'!$A:$A,A523))</f>
        <v/>
      </c>
      <c r="I523" s="4" t="n">
        <v>88953.66</v>
      </c>
      <c r="J523" t="inlineStr">
        <is>
          <t>actif</t>
        </is>
      </c>
    </row>
    <row r="524">
      <c r="A524" t="inlineStr">
        <is>
          <t>CTR-00530</t>
        </is>
      </c>
      <c r="B524" t="inlineStr">
        <is>
          <t>CLI-00660</t>
        </is>
      </c>
      <c r="C524" t="inlineStr">
        <is>
          <t>Île-de-France</t>
        </is>
      </c>
      <c r="D524" t="inlineStr">
        <is>
          <t>auto</t>
        </is>
      </c>
      <c r="E524" t="inlineStr">
        <is>
          <t>LOA</t>
        </is>
      </c>
      <c r="F524" t="inlineStr">
        <is>
          <t>2024-07-14</t>
        </is>
      </c>
      <c r="G524" s="4" t="n">
        <v>48352.65</v>
      </c>
      <c r="H524" s="4">
        <f>MAX(0,G524-SUMIFS('Paiements contrat'!$B:$B,'Paiements contrat'!$A:$A,A524))</f>
        <v/>
      </c>
      <c r="I524" s="4" t="n">
        <v>23718.87790470011</v>
      </c>
      <c r="J524" t="inlineStr">
        <is>
          <t>actif</t>
        </is>
      </c>
    </row>
    <row r="525">
      <c r="A525" t="inlineStr">
        <is>
          <t>CTR-00531</t>
        </is>
      </c>
      <c r="B525" t="inlineStr">
        <is>
          <t>CLI-00410</t>
        </is>
      </c>
      <c r="C525" t="inlineStr">
        <is>
          <t>Île-de-France</t>
        </is>
      </c>
      <c r="D525" t="inlineStr">
        <is>
          <t>auto</t>
        </is>
      </c>
      <c r="E525" t="inlineStr">
        <is>
          <t>LOA</t>
        </is>
      </c>
      <c r="F525" t="inlineStr">
        <is>
          <t>2025-11-18</t>
        </is>
      </c>
      <c r="G525" s="4" t="n">
        <v>67019.8</v>
      </c>
      <c r="H525" s="4">
        <f>MAX(0,G525-SUMIFS('Paiements contrat'!$B:$B,'Paiements contrat'!$A:$A,A525))</f>
        <v/>
      </c>
      <c r="I525" s="4" t="n">
        <v>56545.15</v>
      </c>
      <c r="J525" t="inlineStr">
        <is>
          <t>actif</t>
        </is>
      </c>
    </row>
    <row r="526">
      <c r="A526" t="inlineStr">
        <is>
          <t>CTR-00532</t>
        </is>
      </c>
      <c r="B526" t="inlineStr">
        <is>
          <t>CLI-00458</t>
        </is>
      </c>
      <c r="C526" t="inlineStr">
        <is>
          <t>Île-de-France</t>
        </is>
      </c>
      <c r="D526" t="inlineStr">
        <is>
          <t>auto</t>
        </is>
      </c>
      <c r="E526" t="inlineStr">
        <is>
          <t>LOA</t>
        </is>
      </c>
      <c r="F526" t="inlineStr">
        <is>
          <t>2026-03-04</t>
        </is>
      </c>
      <c r="G526" s="4" t="n">
        <v>64831.79</v>
      </c>
      <c r="H526" s="4">
        <f>MAX(0,G526-SUMIFS('Paiements contrat'!$B:$B,'Paiements contrat'!$A:$A,A526))</f>
        <v/>
      </c>
      <c r="I526" s="4" t="n">
        <v>64831.79</v>
      </c>
      <c r="J526" t="inlineStr">
        <is>
          <t>actif</t>
        </is>
      </c>
    </row>
    <row r="527">
      <c r="A527" t="inlineStr">
        <is>
          <t>CTR-00533</t>
        </is>
      </c>
      <c r="B527" t="inlineStr">
        <is>
          <t>CLI-00052</t>
        </is>
      </c>
      <c r="C527" t="inlineStr">
        <is>
          <t>Île-de-France</t>
        </is>
      </c>
      <c r="D527" t="inlineStr">
        <is>
          <t>auto</t>
        </is>
      </c>
      <c r="E527" t="inlineStr">
        <is>
          <t>LOA</t>
        </is>
      </c>
      <c r="F527" t="inlineStr">
        <is>
          <t>2026-03-08</t>
        </is>
      </c>
      <c r="G527" s="4" t="n">
        <v>59840.42</v>
      </c>
      <c r="H527" s="4">
        <f>MAX(0,G527-SUMIFS('Paiements contrat'!$B:$B,'Paiements contrat'!$A:$A,A527))</f>
        <v/>
      </c>
      <c r="I527" s="4" t="n">
        <v>59840.42</v>
      </c>
      <c r="J527" t="inlineStr">
        <is>
          <t>actif</t>
        </is>
      </c>
    </row>
    <row r="528">
      <c r="A528" t="inlineStr">
        <is>
          <t>CTR-00534</t>
        </is>
      </c>
      <c r="B528" t="inlineStr">
        <is>
          <t>CLI-00403</t>
        </is>
      </c>
      <c r="C528" t="inlineStr">
        <is>
          <t>Île-de-France</t>
        </is>
      </c>
      <c r="D528" t="inlineStr">
        <is>
          <t>auto</t>
        </is>
      </c>
      <c r="E528" t="inlineStr">
        <is>
          <t>LOA</t>
        </is>
      </c>
      <c r="F528" t="inlineStr">
        <is>
          <t>2024-10-06</t>
        </is>
      </c>
      <c r="G528" s="4" t="n">
        <v>23822.86</v>
      </c>
      <c r="H528" s="4">
        <f>MAX(0,G528-SUMIFS('Paiements contrat'!$B:$B,'Paiements contrat'!$A:$A,A528))</f>
        <v/>
      </c>
      <c r="I528" s="4" t="n">
        <v>7203.07</v>
      </c>
      <c r="J528" t="inlineStr">
        <is>
          <t>actif</t>
        </is>
      </c>
    </row>
    <row r="529">
      <c r="A529" t="inlineStr">
        <is>
          <t>CTR-00535</t>
        </is>
      </c>
      <c r="B529" t="inlineStr">
        <is>
          <t>CLI-00024</t>
        </is>
      </c>
      <c r="C529" t="inlineStr">
        <is>
          <t>Île-de-France</t>
        </is>
      </c>
      <c r="D529" t="inlineStr">
        <is>
          <t>bateau</t>
        </is>
      </c>
      <c r="E529" t="inlineStr">
        <is>
          <t>LOA</t>
        </is>
      </c>
      <c r="F529" t="inlineStr">
        <is>
          <t>2025-10-17</t>
        </is>
      </c>
      <c r="G529" s="4" t="n">
        <v>149449.29</v>
      </c>
      <c r="H529" s="4">
        <f>MAX(0,G529-SUMIFS('Paiements contrat'!$B:$B,'Paiements contrat'!$A:$A,A529))</f>
        <v/>
      </c>
      <c r="I529" s="4" t="n">
        <v>111231.6744159885</v>
      </c>
      <c r="J529" t="inlineStr">
        <is>
          <t>actif</t>
        </is>
      </c>
    </row>
    <row r="530">
      <c r="A530" t="inlineStr">
        <is>
          <t>CTR-00537</t>
        </is>
      </c>
      <c r="B530" t="inlineStr">
        <is>
          <t>CLI-01207</t>
        </is>
      </c>
      <c r="C530" t="inlineStr">
        <is>
          <t>Martinique</t>
        </is>
      </c>
      <c r="D530" t="inlineStr">
        <is>
          <t>materiel</t>
        </is>
      </c>
      <c r="E530" t="inlineStr">
        <is>
          <t>crédit-bail</t>
        </is>
      </c>
      <c r="F530" t="inlineStr">
        <is>
          <t>2025-03-11</t>
        </is>
      </c>
      <c r="G530" s="4" t="n">
        <v>142541.63</v>
      </c>
      <c r="H530" s="4">
        <f>MAX(0,G530-SUMIFS('Paiements contrat'!$B:$B,'Paiements contrat'!$A:$A,A530))</f>
        <v/>
      </c>
      <c r="I530" s="4" t="n">
        <v>83177.51752925654</v>
      </c>
      <c r="J530" t="inlineStr">
        <is>
          <t>actif</t>
        </is>
      </c>
    </row>
    <row r="531">
      <c r="A531" t="inlineStr">
        <is>
          <t>CTR-00538</t>
        </is>
      </c>
      <c r="B531" t="inlineStr">
        <is>
          <t>CLI-00078</t>
        </is>
      </c>
      <c r="C531" t="inlineStr">
        <is>
          <t>Réunion</t>
        </is>
      </c>
      <c r="D531" t="inlineStr">
        <is>
          <t>materiel</t>
        </is>
      </c>
      <c r="E531" t="inlineStr">
        <is>
          <t>crédit-bail</t>
        </is>
      </c>
      <c r="F531" t="inlineStr">
        <is>
          <t>2024-11-02</t>
        </is>
      </c>
      <c r="G531" s="4" t="n">
        <v>185400.05</v>
      </c>
      <c r="H531" s="4">
        <f>MAX(0,G531-SUMIFS('Paiements contrat'!$B:$B,'Paiements contrat'!$A:$A,A531))</f>
        <v/>
      </c>
      <c r="I531" s="4" t="n">
        <v>111721.7588002872</v>
      </c>
      <c r="J531" t="inlineStr">
        <is>
          <t>actif</t>
        </is>
      </c>
    </row>
    <row r="532">
      <c r="A532" t="inlineStr">
        <is>
          <t>CTR-00539</t>
        </is>
      </c>
      <c r="B532" t="inlineStr">
        <is>
          <t>CLI-00298</t>
        </is>
      </c>
      <c r="C532" t="inlineStr">
        <is>
          <t>Île-de-France</t>
        </is>
      </c>
      <c r="D532" t="inlineStr">
        <is>
          <t>auto</t>
        </is>
      </c>
      <c r="E532" t="inlineStr">
        <is>
          <t>LOA</t>
        </is>
      </c>
      <c r="F532" t="inlineStr">
        <is>
          <t>2024-05-23</t>
        </is>
      </c>
      <c r="G532" s="4" t="n">
        <v>22356.98</v>
      </c>
      <c r="H532" s="4">
        <f>MAX(0,G532-SUMIFS('Paiements contrat'!$B:$B,'Paiements contrat'!$A:$A,A532))</f>
        <v/>
      </c>
      <c r="I532" s="4" t="n">
        <v>13433.39759087788</v>
      </c>
      <c r="J532" t="inlineStr">
        <is>
          <t>actif</t>
        </is>
      </c>
    </row>
    <row r="533">
      <c r="A533" t="inlineStr">
        <is>
          <t>CTR-00540</t>
        </is>
      </c>
      <c r="B533" t="inlineStr">
        <is>
          <t>CLI-01085</t>
        </is>
      </c>
      <c r="C533" t="inlineStr">
        <is>
          <t>Guadeloupe</t>
        </is>
      </c>
      <c r="D533" t="inlineStr">
        <is>
          <t>auto</t>
        </is>
      </c>
      <c r="E533" t="inlineStr">
        <is>
          <t>LOA</t>
        </is>
      </c>
      <c r="F533" t="inlineStr">
        <is>
          <t>2025-01-13</t>
        </is>
      </c>
      <c r="G533" s="4" t="n">
        <v>26394.92</v>
      </c>
      <c r="H533" s="4">
        <f>MAX(0,G533-SUMIFS('Paiements contrat'!$B:$B,'Paiements contrat'!$A:$A,A533))</f>
        <v/>
      </c>
      <c r="I533" s="4" t="n">
        <v>15274.56</v>
      </c>
      <c r="J533" t="inlineStr">
        <is>
          <t>actif</t>
        </is>
      </c>
    </row>
    <row r="534">
      <c r="A534" t="inlineStr">
        <is>
          <t>CTR-00541</t>
        </is>
      </c>
      <c r="B534" t="inlineStr">
        <is>
          <t>CLI-01240</t>
        </is>
      </c>
      <c r="C534" t="inlineStr">
        <is>
          <t>Île-de-France</t>
        </is>
      </c>
      <c r="D534" t="inlineStr">
        <is>
          <t>materiel</t>
        </is>
      </c>
      <c r="E534" t="inlineStr">
        <is>
          <t>crédit-bail</t>
        </is>
      </c>
      <c r="F534" t="inlineStr">
        <is>
          <t>2025-11-15</t>
        </is>
      </c>
      <c r="G534" s="4" t="n">
        <v>67375.72</v>
      </c>
      <c r="H534" s="4">
        <f>MAX(0,G534-SUMIFS('Paiements contrat'!$B:$B,'Paiements contrat'!$A:$A,A534))</f>
        <v/>
      </c>
      <c r="I534" s="4" t="n">
        <v>59100.21</v>
      </c>
      <c r="J534" t="inlineStr">
        <is>
          <t>actif</t>
        </is>
      </c>
    </row>
    <row r="535">
      <c r="A535" t="inlineStr">
        <is>
          <t>CTR-00542</t>
        </is>
      </c>
      <c r="B535" t="inlineStr">
        <is>
          <t>CLI-01393</t>
        </is>
      </c>
      <c r="C535" t="inlineStr">
        <is>
          <t>Île-de-France</t>
        </is>
      </c>
      <c r="D535" t="inlineStr">
        <is>
          <t>auto</t>
        </is>
      </c>
      <c r="E535" t="inlineStr">
        <is>
          <t>LOA</t>
        </is>
      </c>
      <c r="F535" t="inlineStr">
        <is>
          <t>2024-04-06</t>
        </is>
      </c>
      <c r="G535" s="4" t="n">
        <v>70490.14</v>
      </c>
      <c r="H535" s="4">
        <f>MAX(0,G535-SUMIFS('Paiements contrat'!$B:$B,'Paiements contrat'!$A:$A,A535))</f>
        <v/>
      </c>
      <c r="I535" s="4" t="n">
        <v>33439.92073767061</v>
      </c>
      <c r="J535" t="inlineStr">
        <is>
          <t>actif</t>
        </is>
      </c>
    </row>
    <row r="536">
      <c r="A536" t="inlineStr">
        <is>
          <t>CTR-00543</t>
        </is>
      </c>
      <c r="B536" t="inlineStr">
        <is>
          <t>CLI-00547</t>
        </is>
      </c>
      <c r="C536" t="inlineStr">
        <is>
          <t>Île-de-France</t>
        </is>
      </c>
      <c r="D536" t="inlineStr">
        <is>
          <t>auto</t>
        </is>
      </c>
      <c r="E536" t="inlineStr">
        <is>
          <t>LOA</t>
        </is>
      </c>
      <c r="F536" t="inlineStr">
        <is>
          <t>2025-01-16</t>
        </is>
      </c>
      <c r="G536" s="4" t="n">
        <v>63063.69</v>
      </c>
      <c r="H536" s="4">
        <f>MAX(0,G536-SUMIFS('Paiements contrat'!$B:$B,'Paiements contrat'!$A:$A,A536))</f>
        <v/>
      </c>
      <c r="I536" s="4" t="n">
        <v>41077.13</v>
      </c>
      <c r="J536" t="inlineStr">
        <is>
          <t>actif</t>
        </is>
      </c>
    </row>
    <row r="537">
      <c r="A537" t="inlineStr">
        <is>
          <t>CTR-00544</t>
        </is>
      </c>
      <c r="B537" t="inlineStr">
        <is>
          <t>CLI-01427</t>
        </is>
      </c>
      <c r="C537" t="inlineStr">
        <is>
          <t>Guadeloupe</t>
        </is>
      </c>
      <c r="D537" t="inlineStr">
        <is>
          <t>auto</t>
        </is>
      </c>
      <c r="E537" t="inlineStr">
        <is>
          <t>LLD</t>
        </is>
      </c>
      <c r="F537" t="inlineStr">
        <is>
          <t>2025-12-03</t>
        </is>
      </c>
      <c r="G537" s="4" t="n">
        <v>33316.36</v>
      </c>
      <c r="H537" s="4">
        <f>MAX(0,G537-SUMIFS('Paiements contrat'!$B:$B,'Paiements contrat'!$A:$A,A537))</f>
        <v/>
      </c>
      <c r="I537" s="4" t="n">
        <v>32330.26</v>
      </c>
      <c r="J537" t="inlineStr">
        <is>
          <t>actif</t>
        </is>
      </c>
    </row>
    <row r="538">
      <c r="A538" t="inlineStr">
        <is>
          <t>CTR-00546</t>
        </is>
      </c>
      <c r="B538" t="inlineStr">
        <is>
          <t>CLI-00448</t>
        </is>
      </c>
      <c r="C538" t="inlineStr">
        <is>
          <t>Île-de-France</t>
        </is>
      </c>
      <c r="D538" t="inlineStr">
        <is>
          <t>auto</t>
        </is>
      </c>
      <c r="E538" t="inlineStr">
        <is>
          <t>LOA</t>
        </is>
      </c>
      <c r="F538" t="inlineStr">
        <is>
          <t>2024-05-16</t>
        </is>
      </c>
      <c r="G538" s="4" t="n">
        <v>35924.82</v>
      </c>
      <c r="H538" s="4">
        <f>MAX(0,G538-SUMIFS('Paiements contrat'!$B:$B,'Paiements contrat'!$A:$A,A538))</f>
        <v/>
      </c>
      <c r="I538" s="4" t="n">
        <v>25039.38</v>
      </c>
      <c r="J538" t="inlineStr">
        <is>
          <t>actif</t>
        </is>
      </c>
    </row>
    <row r="539">
      <c r="A539" t="inlineStr">
        <is>
          <t>CTR-00547</t>
        </is>
      </c>
      <c r="B539" t="inlineStr">
        <is>
          <t>CLI-01384</t>
        </is>
      </c>
      <c r="C539" t="inlineStr">
        <is>
          <t>Réunion</t>
        </is>
      </c>
      <c r="D539" t="inlineStr">
        <is>
          <t>auto</t>
        </is>
      </c>
      <c r="E539" t="inlineStr">
        <is>
          <t>LOA</t>
        </is>
      </c>
      <c r="F539" t="inlineStr">
        <is>
          <t>2024-12-20</t>
        </is>
      </c>
      <c r="G539" s="4" t="n">
        <v>11582.42</v>
      </c>
      <c r="H539" s="4">
        <f>MAX(0,G539-SUMIFS('Paiements contrat'!$B:$B,'Paiements contrat'!$A:$A,A539))</f>
        <v/>
      </c>
      <c r="I539" s="4" t="n">
        <v>9014.33</v>
      </c>
      <c r="J539" t="inlineStr">
        <is>
          <t>actif</t>
        </is>
      </c>
    </row>
    <row r="540">
      <c r="A540" t="inlineStr">
        <is>
          <t>CTR-00548</t>
        </is>
      </c>
      <c r="B540" t="inlineStr">
        <is>
          <t>CLI-00023</t>
        </is>
      </c>
      <c r="C540" t="inlineStr">
        <is>
          <t>Île-de-France</t>
        </is>
      </c>
      <c r="D540" t="inlineStr">
        <is>
          <t>auto</t>
        </is>
      </c>
      <c r="E540" t="inlineStr">
        <is>
          <t>LLD</t>
        </is>
      </c>
      <c r="F540" t="inlineStr">
        <is>
          <t>2026-01-01</t>
        </is>
      </c>
      <c r="G540" s="4" t="n">
        <v>14442.43</v>
      </c>
      <c r="H540" s="4">
        <f>MAX(0,G540-SUMIFS('Paiements contrat'!$B:$B,'Paiements contrat'!$A:$A,A540))</f>
        <v/>
      </c>
      <c r="I540" s="4" t="n">
        <v>13722.79</v>
      </c>
      <c r="J540" t="inlineStr">
        <is>
          <t>actif</t>
        </is>
      </c>
    </row>
    <row r="541">
      <c r="A541" t="inlineStr">
        <is>
          <t>CTR-00549</t>
        </is>
      </c>
      <c r="B541" t="inlineStr">
        <is>
          <t>CLI-00703</t>
        </is>
      </c>
      <c r="C541" t="inlineStr">
        <is>
          <t>Île-de-France</t>
        </is>
      </c>
      <c r="D541" t="inlineStr">
        <is>
          <t>materiel</t>
        </is>
      </c>
      <c r="E541" t="inlineStr">
        <is>
          <t>crédit-bail</t>
        </is>
      </c>
      <c r="F541" t="inlineStr">
        <is>
          <t>2025-09-16</t>
        </is>
      </c>
      <c r="G541" s="4" t="n">
        <v>63221.18</v>
      </c>
      <c r="H541" s="4">
        <f>MAX(0,G541-SUMIFS('Paiements contrat'!$B:$B,'Paiements contrat'!$A:$A,A541))</f>
        <v/>
      </c>
      <c r="I541" s="4" t="n">
        <v>50780.18</v>
      </c>
      <c r="J541" t="inlineStr">
        <is>
          <t>actif</t>
        </is>
      </c>
    </row>
    <row r="542">
      <c r="A542" t="inlineStr">
        <is>
          <t>CTR-00550</t>
        </is>
      </c>
      <c r="B542" t="inlineStr">
        <is>
          <t>CLI-01259</t>
        </is>
      </c>
      <c r="C542" t="inlineStr">
        <is>
          <t>Martinique</t>
        </is>
      </c>
      <c r="D542" t="inlineStr">
        <is>
          <t>auto</t>
        </is>
      </c>
      <c r="E542" t="inlineStr">
        <is>
          <t>LOA</t>
        </is>
      </c>
      <c r="F542" t="inlineStr">
        <is>
          <t>2024-07-07</t>
        </is>
      </c>
      <c r="G542" s="4" t="n">
        <v>66578.28999999999</v>
      </c>
      <c r="H542" s="4">
        <f>MAX(0,G542-SUMIFS('Paiements contrat'!$B:$B,'Paiements contrat'!$A:$A,A542))</f>
        <v/>
      </c>
      <c r="I542" s="4" t="n">
        <v>7353.159999999996</v>
      </c>
      <c r="J542" t="inlineStr">
        <is>
          <t>soldé</t>
        </is>
      </c>
    </row>
    <row r="543">
      <c r="A543" t="inlineStr">
        <is>
          <t>CTR-00551</t>
        </is>
      </c>
      <c r="B543" t="inlineStr">
        <is>
          <t>CLI-00633</t>
        </is>
      </c>
      <c r="C543" t="inlineStr">
        <is>
          <t>Martinique</t>
        </is>
      </c>
      <c r="D543" t="inlineStr">
        <is>
          <t>auto</t>
        </is>
      </c>
      <c r="E543" t="inlineStr">
        <is>
          <t>LOA</t>
        </is>
      </c>
      <c r="F543" t="inlineStr">
        <is>
          <t>2025-12-02</t>
        </is>
      </c>
      <c r="G543" s="4" t="n">
        <v>51733.5</v>
      </c>
      <c r="H543" s="4">
        <f>MAX(0,G543-SUMIFS('Paiements contrat'!$B:$B,'Paiements contrat'!$A:$A,A543))</f>
        <v/>
      </c>
      <c r="I543" s="4" t="n">
        <v>49712.61</v>
      </c>
      <c r="J543" t="inlineStr">
        <is>
          <t>actif</t>
        </is>
      </c>
    </row>
    <row r="544">
      <c r="A544" t="inlineStr">
        <is>
          <t>CTR-00552</t>
        </is>
      </c>
      <c r="B544" t="inlineStr">
        <is>
          <t>CLI-00525</t>
        </is>
      </c>
      <c r="C544" t="inlineStr">
        <is>
          <t>Île-de-France</t>
        </is>
      </c>
      <c r="D544" t="inlineStr">
        <is>
          <t>materiel</t>
        </is>
      </c>
      <c r="E544" t="inlineStr">
        <is>
          <t>crédit-bail</t>
        </is>
      </c>
      <c r="F544" t="inlineStr">
        <is>
          <t>2026-02-01</t>
        </is>
      </c>
      <c r="G544" s="4" t="n">
        <v>117001.53</v>
      </c>
      <c r="H544" s="4">
        <f>MAX(0,G544-SUMIFS('Paiements contrat'!$B:$B,'Paiements contrat'!$A:$A,A544))</f>
        <v/>
      </c>
      <c r="I544" s="4" t="n">
        <v>112482.81</v>
      </c>
      <c r="J544" t="inlineStr">
        <is>
          <t>actif</t>
        </is>
      </c>
    </row>
    <row r="545">
      <c r="A545" t="inlineStr">
        <is>
          <t>CTR-00553</t>
        </is>
      </c>
      <c r="B545" t="inlineStr">
        <is>
          <t>CLI-00009</t>
        </is>
      </c>
      <c r="C545" t="inlineStr">
        <is>
          <t>Île-de-France</t>
        </is>
      </c>
      <c r="D545" t="inlineStr">
        <is>
          <t>auto</t>
        </is>
      </c>
      <c r="E545" t="inlineStr">
        <is>
          <t>LOA</t>
        </is>
      </c>
      <c r="F545" t="inlineStr">
        <is>
          <t>2024-10-16</t>
        </is>
      </c>
      <c r="G545" s="4" t="n">
        <v>26244.52</v>
      </c>
      <c r="H545" s="4">
        <f>MAX(0,G545-SUMIFS('Paiements contrat'!$B:$B,'Paiements contrat'!$A:$A,A545))</f>
        <v/>
      </c>
      <c r="I545" s="4" t="n">
        <v>13887.75335609216</v>
      </c>
      <c r="J545" t="inlineStr">
        <is>
          <t>actif</t>
        </is>
      </c>
    </row>
    <row r="546">
      <c r="A546" t="inlineStr">
        <is>
          <t>CTR-00554</t>
        </is>
      </c>
      <c r="B546" t="inlineStr">
        <is>
          <t>CLI-00754</t>
        </is>
      </c>
      <c r="C546" t="inlineStr">
        <is>
          <t>Île-de-France</t>
        </is>
      </c>
      <c r="D546" t="inlineStr">
        <is>
          <t>auto</t>
        </is>
      </c>
      <c r="E546" t="inlineStr">
        <is>
          <t>LOA</t>
        </is>
      </c>
      <c r="F546" t="inlineStr">
        <is>
          <t>2025-11-06</t>
        </is>
      </c>
      <c r="G546" s="4" t="n">
        <v>20509</v>
      </c>
      <c r="H546" s="4">
        <f>MAX(0,G546-SUMIFS('Paiements contrat'!$B:$B,'Paiements contrat'!$A:$A,A546))</f>
        <v/>
      </c>
      <c r="I546" s="4" t="n">
        <v>17250.02</v>
      </c>
      <c r="J546" t="inlineStr">
        <is>
          <t>actif</t>
        </is>
      </c>
    </row>
    <row r="547">
      <c r="A547" t="inlineStr">
        <is>
          <t>CTR-00555</t>
        </is>
      </c>
      <c r="B547" t="inlineStr">
        <is>
          <t>CLI-01137</t>
        </is>
      </c>
      <c r="C547" t="inlineStr">
        <is>
          <t>Île-de-France</t>
        </is>
      </c>
      <c r="D547" t="inlineStr">
        <is>
          <t>auto</t>
        </is>
      </c>
      <c r="E547" t="inlineStr">
        <is>
          <t>LOA</t>
        </is>
      </c>
      <c r="F547" t="inlineStr">
        <is>
          <t>2024-07-08</t>
        </is>
      </c>
      <c r="G547" s="4" t="n">
        <v>37073</v>
      </c>
      <c r="H547" s="4">
        <f>MAX(0,G547-SUMIFS('Paiements contrat'!$B:$B,'Paiements contrat'!$A:$A,A547))</f>
        <v/>
      </c>
      <c r="I547" s="4" t="n">
        <v>22312.14</v>
      </c>
      <c r="J547" t="inlineStr">
        <is>
          <t>actif</t>
        </is>
      </c>
    </row>
    <row r="548">
      <c r="A548" t="inlineStr">
        <is>
          <t>CTR-00556</t>
        </is>
      </c>
      <c r="B548" t="inlineStr">
        <is>
          <t>CLI-01259</t>
        </is>
      </c>
      <c r="C548" t="inlineStr">
        <is>
          <t>Martinique</t>
        </is>
      </c>
      <c r="D548" t="inlineStr">
        <is>
          <t>auto</t>
        </is>
      </c>
      <c r="E548" t="inlineStr">
        <is>
          <t>LOA</t>
        </is>
      </c>
      <c r="F548" t="inlineStr">
        <is>
          <t>2025-03-05</t>
        </is>
      </c>
      <c r="G548" s="4" t="n">
        <v>59188.94</v>
      </c>
      <c r="H548" s="4">
        <f>MAX(0,G548-SUMIFS('Paiements contrat'!$B:$B,'Paiements contrat'!$A:$A,A548))</f>
        <v/>
      </c>
      <c r="I548" s="4" t="n">
        <v>35179.13</v>
      </c>
      <c r="J548" t="inlineStr">
        <is>
          <t>actif</t>
        </is>
      </c>
    </row>
    <row r="549">
      <c r="A549" t="inlineStr">
        <is>
          <t>CTR-00557</t>
        </is>
      </c>
      <c r="B549" t="inlineStr">
        <is>
          <t>CLI-00997</t>
        </is>
      </c>
      <c r="C549" t="inlineStr">
        <is>
          <t>Île-de-France</t>
        </is>
      </c>
      <c r="D549" t="inlineStr">
        <is>
          <t>auto</t>
        </is>
      </c>
      <c r="E549" t="inlineStr">
        <is>
          <t>LOA</t>
        </is>
      </c>
      <c r="F549" t="inlineStr">
        <is>
          <t>2024-10-09</t>
        </is>
      </c>
      <c r="G549" s="4" t="n">
        <v>63379.7</v>
      </c>
      <c r="H549" s="4">
        <f>MAX(0,G549-SUMIFS('Paiements contrat'!$B:$B,'Paiements contrat'!$A:$A,A549))</f>
        <v/>
      </c>
      <c r="I549" s="4" t="n">
        <v>42881.67</v>
      </c>
      <c r="J549" t="inlineStr">
        <is>
          <t>actif</t>
        </is>
      </c>
    </row>
    <row r="550">
      <c r="A550" t="inlineStr">
        <is>
          <t>CTR-00558</t>
        </is>
      </c>
      <c r="B550" t="inlineStr">
        <is>
          <t>CLI-00940</t>
        </is>
      </c>
      <c r="C550" t="inlineStr">
        <is>
          <t>Île-de-France</t>
        </is>
      </c>
      <c r="D550" t="inlineStr">
        <is>
          <t>auto</t>
        </is>
      </c>
      <c r="E550" t="inlineStr">
        <is>
          <t>LOA</t>
        </is>
      </c>
      <c r="F550" t="inlineStr">
        <is>
          <t>2025-03-16</t>
        </is>
      </c>
      <c r="G550" s="4" t="n">
        <v>31365.91</v>
      </c>
      <c r="H550" s="4">
        <f>MAX(0,G550-SUMIFS('Paiements contrat'!$B:$B,'Paiements contrat'!$A:$A,A550))</f>
        <v/>
      </c>
      <c r="I550" s="4" t="n">
        <v>19437.18</v>
      </c>
      <c r="J550" t="inlineStr">
        <is>
          <t>actif</t>
        </is>
      </c>
    </row>
    <row r="551">
      <c r="A551" t="inlineStr">
        <is>
          <t>CTR-00559</t>
        </is>
      </c>
      <c r="B551" t="inlineStr">
        <is>
          <t>CLI-00532</t>
        </is>
      </c>
      <c r="C551" t="inlineStr">
        <is>
          <t>Réunion</t>
        </is>
      </c>
      <c r="D551" t="inlineStr">
        <is>
          <t>auto</t>
        </is>
      </c>
      <c r="E551" t="inlineStr">
        <is>
          <t>LLD</t>
        </is>
      </c>
      <c r="F551" t="inlineStr">
        <is>
          <t>2026-03-22</t>
        </is>
      </c>
      <c r="G551" s="4" t="n">
        <v>18655.57</v>
      </c>
      <c r="H551" s="4">
        <f>MAX(0,G551-SUMIFS('Paiements contrat'!$B:$B,'Paiements contrat'!$A:$A,A551))</f>
        <v/>
      </c>
      <c r="I551" s="4" t="n">
        <v>18655.57</v>
      </c>
      <c r="J551" t="inlineStr">
        <is>
          <t>actif</t>
        </is>
      </c>
    </row>
    <row r="552">
      <c r="A552" t="inlineStr">
        <is>
          <t>CTR-00560</t>
        </is>
      </c>
      <c r="B552" t="inlineStr">
        <is>
          <t>CLI-01454</t>
        </is>
      </c>
      <c r="C552" t="inlineStr">
        <is>
          <t>Guyane</t>
        </is>
      </c>
      <c r="D552" t="inlineStr">
        <is>
          <t>auto</t>
        </is>
      </c>
      <c r="E552" t="inlineStr">
        <is>
          <t>LOA</t>
        </is>
      </c>
      <c r="F552" t="inlineStr">
        <is>
          <t>2025-01-25</t>
        </is>
      </c>
      <c r="G552" s="4" t="n">
        <v>25049.07</v>
      </c>
      <c r="H552" s="4">
        <f>MAX(0,G552-SUMIFS('Paiements contrat'!$B:$B,'Paiements contrat'!$A:$A,A552))</f>
        <v/>
      </c>
      <c r="I552" s="4" t="n">
        <v>14026.52</v>
      </c>
      <c r="J552" t="inlineStr">
        <is>
          <t>actif</t>
        </is>
      </c>
    </row>
    <row r="553">
      <c r="A553" t="inlineStr">
        <is>
          <t>CTR-00561</t>
        </is>
      </c>
      <c r="B553" t="inlineStr">
        <is>
          <t>CLI-01428</t>
        </is>
      </c>
      <c r="C553" t="inlineStr">
        <is>
          <t>Île-de-France</t>
        </is>
      </c>
      <c r="D553" t="inlineStr">
        <is>
          <t>auto</t>
        </is>
      </c>
      <c r="E553" t="inlineStr">
        <is>
          <t>LLD</t>
        </is>
      </c>
      <c r="F553" t="inlineStr">
        <is>
          <t>2024-04-20</t>
        </is>
      </c>
      <c r="G553" s="4" t="n">
        <v>72290.58</v>
      </c>
      <c r="H553" s="4">
        <f>MAX(0,G553-SUMIFS('Paiements contrat'!$B:$B,'Paiements contrat'!$A:$A,A553))</f>
        <v/>
      </c>
      <c r="I553" s="4" t="n">
        <v>23147.78</v>
      </c>
      <c r="J553" t="inlineStr">
        <is>
          <t>actif</t>
        </is>
      </c>
    </row>
    <row r="554">
      <c r="A554" t="inlineStr">
        <is>
          <t>CTR-00562</t>
        </is>
      </c>
      <c r="B554" t="inlineStr">
        <is>
          <t>CLI-00599</t>
        </is>
      </c>
      <c r="C554" t="inlineStr">
        <is>
          <t>Guadeloupe</t>
        </is>
      </c>
      <c r="D554" t="inlineStr">
        <is>
          <t>auto</t>
        </is>
      </c>
      <c r="E554" t="inlineStr">
        <is>
          <t>LOA</t>
        </is>
      </c>
      <c r="F554" t="inlineStr">
        <is>
          <t>2024-05-16</t>
        </is>
      </c>
      <c r="G554" s="4" t="n">
        <v>32495.19</v>
      </c>
      <c r="H554" s="4">
        <f>MAX(0,G554-SUMIFS('Paiements contrat'!$B:$B,'Paiements contrat'!$A:$A,A554))</f>
        <v/>
      </c>
      <c r="I554" s="4" t="n">
        <v>19316.44157739588</v>
      </c>
      <c r="J554" t="inlineStr">
        <is>
          <t>actif</t>
        </is>
      </c>
    </row>
    <row r="555">
      <c r="A555" t="inlineStr">
        <is>
          <t>CTR-00563</t>
        </is>
      </c>
      <c r="B555" t="inlineStr">
        <is>
          <t>CLI-00261</t>
        </is>
      </c>
      <c r="C555" t="inlineStr">
        <is>
          <t>Île-de-France</t>
        </is>
      </c>
      <c r="D555" t="inlineStr">
        <is>
          <t>auto</t>
        </is>
      </c>
      <c r="E555" t="inlineStr">
        <is>
          <t>LOA</t>
        </is>
      </c>
      <c r="F555" t="inlineStr">
        <is>
          <t>2025-01-27</t>
        </is>
      </c>
      <c r="G555" s="4" t="n">
        <v>43729.65</v>
      </c>
      <c r="H555" s="4">
        <f>MAX(0,G555-SUMIFS('Paiements contrat'!$B:$B,'Paiements contrat'!$A:$A,A555))</f>
        <v/>
      </c>
      <c r="I555" s="4" t="n">
        <v>22581.87</v>
      </c>
      <c r="J555" t="inlineStr">
        <is>
          <t>actif</t>
        </is>
      </c>
    </row>
    <row r="556">
      <c r="A556" t="inlineStr">
        <is>
          <t>CTR-00564</t>
        </is>
      </c>
      <c r="B556" t="inlineStr">
        <is>
          <t>CLI-01198</t>
        </is>
      </c>
      <c r="C556" t="inlineStr">
        <is>
          <t>Réunion</t>
        </is>
      </c>
      <c r="D556" t="inlineStr">
        <is>
          <t>auto</t>
        </is>
      </c>
      <c r="E556" t="inlineStr">
        <is>
          <t>LOA</t>
        </is>
      </c>
      <c r="F556" t="inlineStr">
        <is>
          <t>2024-07-24</t>
        </is>
      </c>
      <c r="G556" s="4" t="n">
        <v>32985.29</v>
      </c>
      <c r="H556" s="4">
        <f>MAX(0,G556-SUMIFS('Paiements contrat'!$B:$B,'Paiements contrat'!$A:$A,A556))</f>
        <v/>
      </c>
      <c r="I556" s="4" t="n">
        <v>8473.130000000001</v>
      </c>
      <c r="J556" t="inlineStr">
        <is>
          <t>actif</t>
        </is>
      </c>
    </row>
    <row r="557">
      <c r="A557" t="inlineStr">
        <is>
          <t>CTR-00565</t>
        </is>
      </c>
      <c r="B557" t="inlineStr">
        <is>
          <t>CLI-00671</t>
        </is>
      </c>
      <c r="C557" t="inlineStr">
        <is>
          <t>Martinique</t>
        </is>
      </c>
      <c r="D557" t="inlineStr">
        <is>
          <t>auto</t>
        </is>
      </c>
      <c r="E557" t="inlineStr">
        <is>
          <t>LOA</t>
        </is>
      </c>
      <c r="F557" t="inlineStr">
        <is>
          <t>2024-09-17</t>
        </is>
      </c>
      <c r="G557" s="4" t="n">
        <v>61358.52</v>
      </c>
      <c r="H557" s="4">
        <f>MAX(0,G557-SUMIFS('Paiements contrat'!$B:$B,'Paiements contrat'!$A:$A,A557))</f>
        <v/>
      </c>
      <c r="I557" s="4" t="n">
        <v>33162.18492045888</v>
      </c>
      <c r="J557" t="inlineStr">
        <is>
          <t>actif</t>
        </is>
      </c>
    </row>
    <row r="558">
      <c r="A558" t="inlineStr">
        <is>
          <t>CTR-00566</t>
        </is>
      </c>
      <c r="B558" t="inlineStr">
        <is>
          <t>CLI-00231</t>
        </is>
      </c>
      <c r="C558" t="inlineStr">
        <is>
          <t>Île-de-France</t>
        </is>
      </c>
      <c r="D558" t="inlineStr">
        <is>
          <t>materiel</t>
        </is>
      </c>
      <c r="E558" t="inlineStr">
        <is>
          <t>crédit-bail</t>
        </is>
      </c>
      <c r="F558" t="inlineStr">
        <is>
          <t>2025-05-14</t>
        </is>
      </c>
      <c r="G558" s="4" t="n">
        <v>81032.89999999999</v>
      </c>
      <c r="H558" s="4">
        <f>MAX(0,G558-SUMIFS('Paiements contrat'!$B:$B,'Paiements contrat'!$A:$A,A558))</f>
        <v/>
      </c>
      <c r="I558" s="4" t="n">
        <v>60153.14999999999</v>
      </c>
      <c r="J558" t="inlineStr">
        <is>
          <t>contentieux</t>
        </is>
      </c>
    </row>
    <row r="559">
      <c r="A559" t="inlineStr">
        <is>
          <t>CTR-00567</t>
        </is>
      </c>
      <c r="B559" t="inlineStr">
        <is>
          <t>CLI-00947</t>
        </is>
      </c>
      <c r="C559" t="inlineStr">
        <is>
          <t>Île-de-France</t>
        </is>
      </c>
      <c r="D559" t="inlineStr">
        <is>
          <t>materiel</t>
        </is>
      </c>
      <c r="E559" t="inlineStr">
        <is>
          <t>crédit-bail</t>
        </is>
      </c>
      <c r="F559" t="inlineStr">
        <is>
          <t>2025-11-15</t>
        </is>
      </c>
      <c r="G559" s="4" t="n">
        <v>85187.85000000001</v>
      </c>
      <c r="H559" s="4">
        <f>MAX(0,G559-SUMIFS('Paiements contrat'!$B:$B,'Paiements contrat'!$A:$A,A559))</f>
        <v/>
      </c>
      <c r="I559" s="4" t="n">
        <v>74849.25619197761</v>
      </c>
      <c r="J559" t="inlineStr">
        <is>
          <t>actif</t>
        </is>
      </c>
    </row>
    <row r="560">
      <c r="A560" t="inlineStr">
        <is>
          <t>CTR-00568</t>
        </is>
      </c>
      <c r="B560" t="inlineStr">
        <is>
          <t>CLI-01242</t>
        </is>
      </c>
      <c r="C560" t="inlineStr">
        <is>
          <t>Île-de-France</t>
        </is>
      </c>
      <c r="D560" t="inlineStr">
        <is>
          <t>auto</t>
        </is>
      </c>
      <c r="E560" t="inlineStr">
        <is>
          <t>LOA</t>
        </is>
      </c>
      <c r="F560" t="inlineStr">
        <is>
          <t>2024-11-23</t>
        </is>
      </c>
      <c r="G560" s="4" t="n">
        <v>16821.94</v>
      </c>
      <c r="H560" s="4">
        <f>MAX(0,G560-SUMIFS('Paiements contrat'!$B:$B,'Paiements contrat'!$A:$A,A560))</f>
        <v/>
      </c>
      <c r="I560" s="4" t="n">
        <v>6489.429999999998</v>
      </c>
      <c r="J560" t="inlineStr">
        <is>
          <t>actif</t>
        </is>
      </c>
    </row>
    <row r="561">
      <c r="A561" t="inlineStr">
        <is>
          <t>CTR-00569</t>
        </is>
      </c>
      <c r="B561" t="inlineStr">
        <is>
          <t>CLI-01234</t>
        </is>
      </c>
      <c r="C561" t="inlineStr">
        <is>
          <t>Île-de-France</t>
        </is>
      </c>
      <c r="D561" t="inlineStr">
        <is>
          <t>materiel</t>
        </is>
      </c>
      <c r="E561" t="inlineStr">
        <is>
          <t>crédit-bail</t>
        </is>
      </c>
      <c r="F561" t="inlineStr">
        <is>
          <t>2024-09-18</t>
        </is>
      </c>
      <c r="G561" s="4" t="n">
        <v>32574.46</v>
      </c>
      <c r="H561" s="4">
        <f>MAX(0,G561-SUMIFS('Paiements contrat'!$B:$B,'Paiements contrat'!$A:$A,A561))</f>
        <v/>
      </c>
      <c r="I561" s="4" t="n">
        <v>17990.49</v>
      </c>
      <c r="J561" t="inlineStr">
        <is>
          <t>actif</t>
        </is>
      </c>
    </row>
    <row r="562">
      <c r="A562" t="inlineStr">
        <is>
          <t>CTR-00570</t>
        </is>
      </c>
      <c r="B562" t="inlineStr">
        <is>
          <t>CLI-00550</t>
        </is>
      </c>
      <c r="C562" t="inlineStr">
        <is>
          <t>Réunion</t>
        </is>
      </c>
      <c r="D562" t="inlineStr">
        <is>
          <t>auto</t>
        </is>
      </c>
      <c r="E562" t="inlineStr">
        <is>
          <t>LOA</t>
        </is>
      </c>
      <c r="F562" t="inlineStr">
        <is>
          <t>2025-09-03</t>
        </is>
      </c>
      <c r="G562" s="4" t="n">
        <v>57654.43</v>
      </c>
      <c r="H562" s="4">
        <f>MAX(0,G562-SUMIFS('Paiements contrat'!$B:$B,'Paiements contrat'!$A:$A,A562))</f>
        <v/>
      </c>
      <c r="I562" s="4" t="n">
        <v>45970.29</v>
      </c>
      <c r="J562" t="inlineStr">
        <is>
          <t>actif</t>
        </is>
      </c>
    </row>
    <row r="563">
      <c r="A563" t="inlineStr">
        <is>
          <t>CTR-00571</t>
        </is>
      </c>
      <c r="B563" t="inlineStr">
        <is>
          <t>CLI-00963</t>
        </is>
      </c>
      <c r="C563" t="inlineStr">
        <is>
          <t>Île-de-France</t>
        </is>
      </c>
      <c r="D563" t="inlineStr">
        <is>
          <t>auto</t>
        </is>
      </c>
      <c r="E563" t="inlineStr">
        <is>
          <t>LOA</t>
        </is>
      </c>
      <c r="F563" t="inlineStr">
        <is>
          <t>2025-09-19</t>
        </is>
      </c>
      <c r="G563" s="4" t="n">
        <v>16760.99</v>
      </c>
      <c r="H563" s="4">
        <f>MAX(0,G563-SUMIFS('Paiements contrat'!$B:$B,'Paiements contrat'!$A:$A,A563))</f>
        <v/>
      </c>
      <c r="I563" s="4" t="n">
        <v>14105.08</v>
      </c>
      <c r="J563" t="inlineStr">
        <is>
          <t>actif</t>
        </is>
      </c>
    </row>
    <row r="564">
      <c r="A564" t="inlineStr">
        <is>
          <t>CTR-00572</t>
        </is>
      </c>
      <c r="B564" t="inlineStr">
        <is>
          <t>CLI-00701</t>
        </is>
      </c>
      <c r="C564" t="inlineStr">
        <is>
          <t>Île-de-France</t>
        </is>
      </c>
      <c r="D564" t="inlineStr">
        <is>
          <t>materiel</t>
        </is>
      </c>
      <c r="E564" t="inlineStr">
        <is>
          <t>crédit-bail</t>
        </is>
      </c>
      <c r="F564" t="inlineStr">
        <is>
          <t>2024-06-15</t>
        </is>
      </c>
      <c r="G564" s="4" t="n">
        <v>176654.13</v>
      </c>
      <c r="H564" s="4">
        <f>MAX(0,G564-SUMIFS('Paiements contrat'!$B:$B,'Paiements contrat'!$A:$A,A564))</f>
        <v/>
      </c>
      <c r="I564" s="4" t="n">
        <v>43572.58000000002</v>
      </c>
      <c r="J564" t="inlineStr">
        <is>
          <t>actif</t>
        </is>
      </c>
    </row>
    <row r="565">
      <c r="A565" t="inlineStr">
        <is>
          <t>CTR-00573</t>
        </is>
      </c>
      <c r="B565" t="inlineStr">
        <is>
          <t>CLI-00890</t>
        </is>
      </c>
      <c r="C565" t="inlineStr">
        <is>
          <t>Guadeloupe</t>
        </is>
      </c>
      <c r="D565" t="inlineStr">
        <is>
          <t>auto</t>
        </is>
      </c>
      <c r="E565" t="inlineStr">
        <is>
          <t>LOA</t>
        </is>
      </c>
      <c r="F565" t="inlineStr">
        <is>
          <t>2025-01-27</t>
        </is>
      </c>
      <c r="G565" s="4" t="n">
        <v>65362.04</v>
      </c>
      <c r="H565" s="4">
        <f>MAX(0,G565-SUMIFS('Paiements contrat'!$B:$B,'Paiements contrat'!$A:$A,A565))</f>
        <v/>
      </c>
      <c r="I565" s="4" t="n">
        <v>30864.87</v>
      </c>
      <c r="J565" t="inlineStr">
        <is>
          <t>actif</t>
        </is>
      </c>
    </row>
    <row r="566">
      <c r="A566" t="inlineStr">
        <is>
          <t>CTR-00574</t>
        </is>
      </c>
      <c r="B566" t="inlineStr">
        <is>
          <t>CLI-00802</t>
        </is>
      </c>
      <c r="C566" t="inlineStr">
        <is>
          <t>Île-de-France</t>
        </is>
      </c>
      <c r="D566" t="inlineStr">
        <is>
          <t>materiel</t>
        </is>
      </c>
      <c r="E566" t="inlineStr">
        <is>
          <t>crédit-bail</t>
        </is>
      </c>
      <c r="F566" t="inlineStr">
        <is>
          <t>2025-09-11</t>
        </is>
      </c>
      <c r="G566" s="4" t="n">
        <v>33793.18</v>
      </c>
      <c r="H566" s="4">
        <f>MAX(0,G566-SUMIFS('Paiements contrat'!$B:$B,'Paiements contrat'!$A:$A,A566))</f>
        <v/>
      </c>
      <c r="I566" s="4" t="n">
        <v>31209.95</v>
      </c>
      <c r="J566" t="inlineStr">
        <is>
          <t>actif</t>
        </is>
      </c>
    </row>
    <row r="567">
      <c r="A567" t="inlineStr">
        <is>
          <t>CTR-00575</t>
        </is>
      </c>
      <c r="B567" t="inlineStr">
        <is>
          <t>CLI-01478</t>
        </is>
      </c>
      <c r="C567" t="inlineStr">
        <is>
          <t>Île-de-France</t>
        </is>
      </c>
      <c r="D567" t="inlineStr">
        <is>
          <t>auto</t>
        </is>
      </c>
      <c r="E567" t="inlineStr">
        <is>
          <t>LLD</t>
        </is>
      </c>
      <c r="F567" t="inlineStr">
        <is>
          <t>2024-10-09</t>
        </is>
      </c>
      <c r="G567" s="4" t="n">
        <v>66377.03</v>
      </c>
      <c r="H567" s="4">
        <f>MAX(0,G567-SUMIFS('Paiements contrat'!$B:$B,'Paiements contrat'!$A:$A,A567))</f>
        <v/>
      </c>
      <c r="I567" s="4" t="n">
        <v>2450.358866305469</v>
      </c>
      <c r="J567" t="inlineStr">
        <is>
          <t>soldé</t>
        </is>
      </c>
    </row>
    <row r="568">
      <c r="A568" t="inlineStr">
        <is>
          <t>CTR-00576</t>
        </is>
      </c>
      <c r="B568" t="inlineStr">
        <is>
          <t>CLI-00270</t>
        </is>
      </c>
      <c r="C568" t="inlineStr">
        <is>
          <t>Île-de-France</t>
        </is>
      </c>
      <c r="D568" t="inlineStr">
        <is>
          <t>auto</t>
        </is>
      </c>
      <c r="E568" t="inlineStr">
        <is>
          <t>LLD</t>
        </is>
      </c>
      <c r="F568" t="inlineStr">
        <is>
          <t>2024-09-08</t>
        </is>
      </c>
      <c r="G568" s="4" t="n">
        <v>60971.91</v>
      </c>
      <c r="H568" s="4">
        <f>MAX(0,G568-SUMIFS('Paiements contrat'!$B:$B,'Paiements contrat'!$A:$A,A568))</f>
        <v/>
      </c>
      <c r="I568" s="4" t="n">
        <v>17690.62838746895</v>
      </c>
      <c r="J568" t="inlineStr">
        <is>
          <t>actif</t>
        </is>
      </c>
    </row>
    <row r="569">
      <c r="A569" t="inlineStr">
        <is>
          <t>CTR-00577</t>
        </is>
      </c>
      <c r="B569" t="inlineStr">
        <is>
          <t>CLI-00578</t>
        </is>
      </c>
      <c r="C569" t="inlineStr">
        <is>
          <t>Martinique</t>
        </is>
      </c>
      <c r="D569" t="inlineStr">
        <is>
          <t>materiel</t>
        </is>
      </c>
      <c r="E569" t="inlineStr">
        <is>
          <t>crédit-bail</t>
        </is>
      </c>
      <c r="F569" t="inlineStr">
        <is>
          <t>2024-11-22</t>
        </is>
      </c>
      <c r="G569" s="4" t="n">
        <v>14344.02</v>
      </c>
      <c r="H569" s="4">
        <f>MAX(0,G569-SUMIFS('Paiements contrat'!$B:$B,'Paiements contrat'!$A:$A,A569))</f>
        <v/>
      </c>
      <c r="I569" s="4" t="n">
        <v>9472.23</v>
      </c>
      <c r="J569" t="inlineStr">
        <is>
          <t>actif</t>
        </is>
      </c>
    </row>
    <row r="570">
      <c r="A570" t="inlineStr">
        <is>
          <t>CTR-00578</t>
        </is>
      </c>
      <c r="B570" t="inlineStr">
        <is>
          <t>CLI-01070</t>
        </is>
      </c>
      <c r="C570" t="inlineStr">
        <is>
          <t>Île-de-France</t>
        </is>
      </c>
      <c r="D570" t="inlineStr">
        <is>
          <t>auto</t>
        </is>
      </c>
      <c r="E570" t="inlineStr">
        <is>
          <t>LOA</t>
        </is>
      </c>
      <c r="F570" t="inlineStr">
        <is>
          <t>2025-08-25</t>
        </is>
      </c>
      <c r="G570" s="4" t="n">
        <v>68680.50999999999</v>
      </c>
      <c r="H570" s="4">
        <f>MAX(0,G570-SUMIFS('Paiements contrat'!$B:$B,'Paiements contrat'!$A:$A,A570))</f>
        <v/>
      </c>
      <c r="I570" s="4" t="n">
        <v>34512.67999999999</v>
      </c>
      <c r="J570" t="inlineStr">
        <is>
          <t>actif</t>
        </is>
      </c>
    </row>
    <row r="571">
      <c r="A571" t="inlineStr">
        <is>
          <t>CTR-00579</t>
        </is>
      </c>
      <c r="B571" t="inlineStr">
        <is>
          <t>CLI-01357</t>
        </is>
      </c>
      <c r="C571" t="inlineStr">
        <is>
          <t>Réunion</t>
        </is>
      </c>
      <c r="D571" t="inlineStr">
        <is>
          <t>materiel</t>
        </is>
      </c>
      <c r="E571" t="inlineStr">
        <is>
          <t>crédit-bail</t>
        </is>
      </c>
      <c r="F571" t="inlineStr">
        <is>
          <t>2024-08-21</t>
        </is>
      </c>
      <c r="G571" s="4" t="n">
        <v>92057.22</v>
      </c>
      <c r="H571" s="4">
        <f>MAX(0,G571-SUMIFS('Paiements contrat'!$B:$B,'Paiements contrat'!$A:$A,A571))</f>
        <v/>
      </c>
      <c r="I571" s="4" t="n">
        <v>51108.38223628348</v>
      </c>
      <c r="J571" t="inlineStr">
        <is>
          <t>actif</t>
        </is>
      </c>
    </row>
    <row r="572">
      <c r="A572" t="inlineStr">
        <is>
          <t>CTR-00580</t>
        </is>
      </c>
      <c r="B572" t="inlineStr">
        <is>
          <t>CLI-00940</t>
        </is>
      </c>
      <c r="C572" t="inlineStr">
        <is>
          <t>Île-de-France</t>
        </is>
      </c>
      <c r="D572" t="inlineStr">
        <is>
          <t>auto</t>
        </is>
      </c>
      <c r="E572" t="inlineStr">
        <is>
          <t>LOA</t>
        </is>
      </c>
      <c r="F572" t="inlineStr">
        <is>
          <t>2025-03-26</t>
        </is>
      </c>
      <c r="G572" s="4" t="n">
        <v>32683.71</v>
      </c>
      <c r="H572" s="4">
        <f>MAX(0,G572-SUMIFS('Paiements contrat'!$B:$B,'Paiements contrat'!$A:$A,A572))</f>
        <v/>
      </c>
      <c r="I572" s="4" t="n">
        <v>26988.81</v>
      </c>
      <c r="J572" t="inlineStr">
        <is>
          <t>actif</t>
        </is>
      </c>
    </row>
    <row r="573">
      <c r="A573" t="inlineStr">
        <is>
          <t>CTR-00581</t>
        </is>
      </c>
      <c r="B573" t="inlineStr">
        <is>
          <t>CLI-00856</t>
        </is>
      </c>
      <c r="C573" t="inlineStr">
        <is>
          <t>Île-de-France</t>
        </is>
      </c>
      <c r="D573" t="inlineStr">
        <is>
          <t>auto</t>
        </is>
      </c>
      <c r="E573" t="inlineStr">
        <is>
          <t>LLD</t>
        </is>
      </c>
      <c r="F573" t="inlineStr">
        <is>
          <t>2026-03-27</t>
        </is>
      </c>
      <c r="G573" s="4" t="n">
        <v>28515.68</v>
      </c>
      <c r="H573" s="4">
        <f>MAX(0,G573-SUMIFS('Paiements contrat'!$B:$B,'Paiements contrat'!$A:$A,A573))</f>
        <v/>
      </c>
      <c r="I573" s="4" t="n">
        <v>28515.68</v>
      </c>
      <c r="J573" t="inlineStr">
        <is>
          <t>actif</t>
        </is>
      </c>
    </row>
    <row r="574">
      <c r="A574" t="inlineStr">
        <is>
          <t>CTR-00582</t>
        </is>
      </c>
      <c r="B574" t="inlineStr">
        <is>
          <t>CLI-01475</t>
        </is>
      </c>
      <c r="C574" t="inlineStr">
        <is>
          <t>Île-de-France</t>
        </is>
      </c>
      <c r="D574" t="inlineStr">
        <is>
          <t>auto</t>
        </is>
      </c>
      <c r="E574" t="inlineStr">
        <is>
          <t>LOA</t>
        </is>
      </c>
      <c r="F574" t="inlineStr">
        <is>
          <t>2024-12-06</t>
        </is>
      </c>
      <c r="G574" s="4" t="n">
        <v>41483.1</v>
      </c>
      <c r="H574" s="4">
        <f>MAX(0,G574-SUMIFS('Paiements contrat'!$B:$B,'Paiements contrat'!$A:$A,A574))</f>
        <v/>
      </c>
      <c r="I574" s="4" t="n">
        <v>32970.19944024809</v>
      </c>
      <c r="J574" t="inlineStr">
        <is>
          <t>actif</t>
        </is>
      </c>
    </row>
    <row r="575">
      <c r="A575" t="inlineStr">
        <is>
          <t>CTR-00583</t>
        </is>
      </c>
      <c r="B575" t="inlineStr">
        <is>
          <t>CLI-00377</t>
        </is>
      </c>
      <c r="C575" t="inlineStr">
        <is>
          <t>Réunion</t>
        </is>
      </c>
      <c r="D575" t="inlineStr">
        <is>
          <t>auto</t>
        </is>
      </c>
      <c r="E575" t="inlineStr">
        <is>
          <t>LOA</t>
        </is>
      </c>
      <c r="F575" t="inlineStr">
        <is>
          <t>2025-04-20</t>
        </is>
      </c>
      <c r="G575" s="4" t="n">
        <v>12202.82</v>
      </c>
      <c r="H575" s="4">
        <f>MAX(0,G575-SUMIFS('Paiements contrat'!$B:$B,'Paiements contrat'!$A:$A,A575))</f>
        <v/>
      </c>
      <c r="I575" s="4" t="n">
        <v>9176.311141182272</v>
      </c>
      <c r="J575" t="inlineStr">
        <is>
          <t>actif</t>
        </is>
      </c>
    </row>
    <row r="576">
      <c r="A576" t="inlineStr">
        <is>
          <t>CTR-00584</t>
        </is>
      </c>
      <c r="B576" t="inlineStr">
        <is>
          <t>CLI-00890</t>
        </is>
      </c>
      <c r="C576" t="inlineStr">
        <is>
          <t>Guadeloupe</t>
        </is>
      </c>
      <c r="D576" t="inlineStr">
        <is>
          <t>auto</t>
        </is>
      </c>
      <c r="E576" t="inlineStr">
        <is>
          <t>LOA</t>
        </is>
      </c>
      <c r="F576" t="inlineStr">
        <is>
          <t>2025-09-16</t>
        </is>
      </c>
      <c r="G576" s="4" t="n">
        <v>9089.639999999999</v>
      </c>
      <c r="H576" s="4">
        <f>MAX(0,G576-SUMIFS('Paiements contrat'!$B:$B,'Paiements contrat'!$A:$A,A576))</f>
        <v/>
      </c>
      <c r="I576" s="4" t="n">
        <v>8418.09</v>
      </c>
      <c r="J576" t="inlineStr">
        <is>
          <t>actif</t>
        </is>
      </c>
    </row>
    <row r="577">
      <c r="A577" t="inlineStr">
        <is>
          <t>CTR-00585</t>
        </is>
      </c>
      <c r="B577" t="inlineStr">
        <is>
          <t>CLI-00923</t>
        </is>
      </c>
      <c r="C577" t="inlineStr">
        <is>
          <t>Île-de-France</t>
        </is>
      </c>
      <c r="D577" t="inlineStr">
        <is>
          <t>auto</t>
        </is>
      </c>
      <c r="E577" t="inlineStr">
        <is>
          <t>LLD</t>
        </is>
      </c>
      <c r="F577" t="inlineStr">
        <is>
          <t>2025-02-08</t>
        </is>
      </c>
      <c r="G577" s="4" t="n">
        <v>74126.33</v>
      </c>
      <c r="H577" s="4">
        <f>MAX(0,G577-SUMIFS('Paiements contrat'!$B:$B,'Paiements contrat'!$A:$A,A577))</f>
        <v/>
      </c>
      <c r="I577" s="4" t="n">
        <v>34520.2</v>
      </c>
      <c r="J577" t="inlineStr">
        <is>
          <t>actif</t>
        </is>
      </c>
    </row>
    <row r="578">
      <c r="A578" t="inlineStr">
        <is>
          <t>CTR-00586</t>
        </is>
      </c>
      <c r="B578" t="inlineStr">
        <is>
          <t>CLI-00636</t>
        </is>
      </c>
      <c r="C578" t="inlineStr">
        <is>
          <t>Île-de-France</t>
        </is>
      </c>
      <c r="D578" t="inlineStr">
        <is>
          <t>auto</t>
        </is>
      </c>
      <c r="E578" t="inlineStr">
        <is>
          <t>LOA</t>
        </is>
      </c>
      <c r="F578" t="inlineStr">
        <is>
          <t>2025-12-12</t>
        </is>
      </c>
      <c r="G578" s="4" t="n">
        <v>18778.56</v>
      </c>
      <c r="H578" s="4">
        <f>MAX(0,G578-SUMIFS('Paiements contrat'!$B:$B,'Paiements contrat'!$A:$A,A578))</f>
        <v/>
      </c>
      <c r="I578" s="4" t="n">
        <v>17701.59</v>
      </c>
      <c r="J578" t="inlineStr">
        <is>
          <t>actif</t>
        </is>
      </c>
    </row>
    <row r="579">
      <c r="A579" t="inlineStr">
        <is>
          <t>CTR-00587</t>
        </is>
      </c>
      <c r="B579" t="inlineStr">
        <is>
          <t>CLI-01067</t>
        </is>
      </c>
      <c r="C579" t="inlineStr">
        <is>
          <t>Île-de-France</t>
        </is>
      </c>
      <c r="D579" t="inlineStr">
        <is>
          <t>auto</t>
        </is>
      </c>
      <c r="E579" t="inlineStr">
        <is>
          <t>LOA</t>
        </is>
      </c>
      <c r="F579" t="inlineStr">
        <is>
          <t>2025-02-03</t>
        </is>
      </c>
      <c r="G579" s="4" t="n">
        <v>30173.22</v>
      </c>
      <c r="H579" s="4">
        <f>MAX(0,G579-SUMIFS('Paiements contrat'!$B:$B,'Paiements contrat'!$A:$A,A579))</f>
        <v/>
      </c>
      <c r="I579" s="4" t="n">
        <v>20476.43</v>
      </c>
      <c r="J579" t="inlineStr">
        <is>
          <t>actif</t>
        </is>
      </c>
    </row>
    <row r="580">
      <c r="A580" t="inlineStr">
        <is>
          <t>CTR-00588</t>
        </is>
      </c>
      <c r="B580" t="inlineStr">
        <is>
          <t>CLI-00599</t>
        </is>
      </c>
      <c r="C580" t="inlineStr">
        <is>
          <t>Guadeloupe</t>
        </is>
      </c>
      <c r="D580" t="inlineStr">
        <is>
          <t>auto</t>
        </is>
      </c>
      <c r="E580" t="inlineStr">
        <is>
          <t>LLD</t>
        </is>
      </c>
      <c r="F580" t="inlineStr">
        <is>
          <t>2024-06-05</t>
        </is>
      </c>
      <c r="G580" s="4" t="n">
        <v>51801.63</v>
      </c>
      <c r="H580" s="4">
        <f>MAX(0,G580-SUMIFS('Paiements contrat'!$B:$B,'Paiements contrat'!$A:$A,A580))</f>
        <v/>
      </c>
      <c r="I580" s="4" t="n">
        <v>33718.22</v>
      </c>
      <c r="J580" t="inlineStr">
        <is>
          <t>actif</t>
        </is>
      </c>
    </row>
    <row r="581">
      <c r="A581" t="inlineStr">
        <is>
          <t>CTR-00589</t>
        </is>
      </c>
      <c r="B581" t="inlineStr">
        <is>
          <t>CLI-00003</t>
        </is>
      </c>
      <c r="C581" t="inlineStr">
        <is>
          <t>Île-de-France</t>
        </is>
      </c>
      <c r="D581" t="inlineStr">
        <is>
          <t>materiel</t>
        </is>
      </c>
      <c r="E581" t="inlineStr">
        <is>
          <t>crédit-bail</t>
        </is>
      </c>
      <c r="F581" t="inlineStr">
        <is>
          <t>2024-10-08</t>
        </is>
      </c>
      <c r="G581" s="4" t="n">
        <v>115226.8</v>
      </c>
      <c r="H581" s="4">
        <f>MAX(0,G581-SUMIFS('Paiements contrat'!$B:$B,'Paiements contrat'!$A:$A,A581))</f>
        <v/>
      </c>
      <c r="I581" s="4" t="n">
        <v>86432.77</v>
      </c>
      <c r="J581" t="inlineStr">
        <is>
          <t>actif</t>
        </is>
      </c>
    </row>
    <row r="582">
      <c r="A582" t="inlineStr">
        <is>
          <t>CTR-00590</t>
        </is>
      </c>
      <c r="B582" t="inlineStr">
        <is>
          <t>CLI-00708</t>
        </is>
      </c>
      <c r="C582" t="inlineStr">
        <is>
          <t>Guadeloupe</t>
        </is>
      </c>
      <c r="D582" t="inlineStr">
        <is>
          <t>materiel</t>
        </is>
      </c>
      <c r="E582" t="inlineStr">
        <is>
          <t>crédit-bail</t>
        </is>
      </c>
      <c r="F582" t="inlineStr">
        <is>
          <t>2025-12-26</t>
        </is>
      </c>
      <c r="G582" s="4" t="n">
        <v>169802.51</v>
      </c>
      <c r="H582" s="4">
        <f>MAX(0,G582-SUMIFS('Paiements contrat'!$B:$B,'Paiements contrat'!$A:$A,A582))</f>
        <v/>
      </c>
      <c r="I582" s="4" t="n">
        <v>149900.11</v>
      </c>
      <c r="J582" t="inlineStr">
        <is>
          <t>actif</t>
        </is>
      </c>
    </row>
    <row r="583">
      <c r="A583" t="inlineStr">
        <is>
          <t>CTR-00591</t>
        </is>
      </c>
      <c r="B583" t="inlineStr">
        <is>
          <t>CLI-00524</t>
        </is>
      </c>
      <c r="C583" t="inlineStr">
        <is>
          <t>Île-de-France</t>
        </is>
      </c>
      <c r="D583" t="inlineStr">
        <is>
          <t>materiel</t>
        </is>
      </c>
      <c r="E583" t="inlineStr">
        <is>
          <t>crédit-bail</t>
        </is>
      </c>
      <c r="F583" t="inlineStr">
        <is>
          <t>2024-05-07</t>
        </is>
      </c>
      <c r="G583" s="4" t="n">
        <v>22922.43</v>
      </c>
      <c r="H583" s="4">
        <f>MAX(0,G583-SUMIFS('Paiements contrat'!$B:$B,'Paiements contrat'!$A:$A,A583))</f>
        <v/>
      </c>
      <c r="I583" s="4" t="n">
        <v>3548.053282160694</v>
      </c>
      <c r="J583" t="inlineStr">
        <is>
          <t>actif</t>
        </is>
      </c>
    </row>
    <row r="584">
      <c r="A584" t="inlineStr">
        <is>
          <t>CTR-00592</t>
        </is>
      </c>
      <c r="B584" t="inlineStr">
        <is>
          <t>CLI-01486</t>
        </is>
      </c>
      <c r="C584" t="inlineStr">
        <is>
          <t>Guadeloupe</t>
        </is>
      </c>
      <c r="D584" t="inlineStr">
        <is>
          <t>auto</t>
        </is>
      </c>
      <c r="E584" t="inlineStr">
        <is>
          <t>LOA</t>
        </is>
      </c>
      <c r="F584" t="inlineStr">
        <is>
          <t>2024-10-15</t>
        </is>
      </c>
      <c r="G584" s="4" t="n">
        <v>43265.14</v>
      </c>
      <c r="H584" s="4">
        <f>MAX(0,G584-SUMIFS('Paiements contrat'!$B:$B,'Paiements contrat'!$A:$A,A584))</f>
        <v/>
      </c>
      <c r="I584" s="4" t="n">
        <v>30472.83</v>
      </c>
      <c r="J584" t="inlineStr">
        <is>
          <t>actif</t>
        </is>
      </c>
    </row>
    <row r="585">
      <c r="A585" t="inlineStr">
        <is>
          <t>CTR-00593</t>
        </is>
      </c>
      <c r="B585" t="inlineStr">
        <is>
          <t>CLI-00341</t>
        </is>
      </c>
      <c r="C585" t="inlineStr">
        <is>
          <t>Île-de-France</t>
        </is>
      </c>
      <c r="D585" t="inlineStr">
        <is>
          <t>materiel</t>
        </is>
      </c>
      <c r="E585" t="inlineStr">
        <is>
          <t>crédit-bail</t>
        </is>
      </c>
      <c r="F585" t="inlineStr">
        <is>
          <t>2026-01-18</t>
        </is>
      </c>
      <c r="G585" s="4" t="n">
        <v>31137.01</v>
      </c>
      <c r="H585" s="4">
        <f>MAX(0,G585-SUMIFS('Paiements contrat'!$B:$B,'Paiements contrat'!$A:$A,A585))</f>
        <v/>
      </c>
      <c r="I585" s="4" t="n">
        <v>29566.01</v>
      </c>
      <c r="J585" t="inlineStr">
        <is>
          <t>actif</t>
        </is>
      </c>
    </row>
    <row r="586">
      <c r="A586" t="inlineStr">
        <is>
          <t>CTR-00594</t>
        </is>
      </c>
      <c r="B586" t="inlineStr">
        <is>
          <t>CLI-00549</t>
        </is>
      </c>
      <c r="C586" t="inlineStr">
        <is>
          <t>Île-de-France</t>
        </is>
      </c>
      <c r="D586" t="inlineStr">
        <is>
          <t>auto</t>
        </is>
      </c>
      <c r="E586" t="inlineStr">
        <is>
          <t>LOA</t>
        </is>
      </c>
      <c r="F586" t="inlineStr">
        <is>
          <t>2024-07-02</t>
        </is>
      </c>
      <c r="G586" s="4" t="n">
        <v>55555.24</v>
      </c>
      <c r="H586" s="4">
        <f>MAX(0,G586-SUMIFS('Paiements contrat'!$B:$B,'Paiements contrat'!$A:$A,A586))</f>
        <v/>
      </c>
      <c r="I586" s="4" t="n">
        <v>27716.46</v>
      </c>
      <c r="J586" t="inlineStr">
        <is>
          <t>actif</t>
        </is>
      </c>
    </row>
    <row r="587">
      <c r="A587" t="inlineStr">
        <is>
          <t>CTR-00595</t>
        </is>
      </c>
      <c r="B587" t="inlineStr">
        <is>
          <t>CLI-00837</t>
        </is>
      </c>
      <c r="C587" t="inlineStr">
        <is>
          <t>Île-de-France</t>
        </is>
      </c>
      <c r="D587" t="inlineStr">
        <is>
          <t>auto</t>
        </is>
      </c>
      <c r="E587" t="inlineStr">
        <is>
          <t>LOA</t>
        </is>
      </c>
      <c r="F587" t="inlineStr">
        <is>
          <t>2024-07-12</t>
        </is>
      </c>
      <c r="G587" s="4" t="n">
        <v>18696.61</v>
      </c>
      <c r="H587" s="4">
        <f>MAX(0,G587-SUMIFS('Paiements contrat'!$B:$B,'Paiements contrat'!$A:$A,A587))</f>
        <v/>
      </c>
      <c r="I587" s="4" t="n">
        <v>12287.47</v>
      </c>
      <c r="J587" t="inlineStr">
        <is>
          <t>actif</t>
        </is>
      </c>
    </row>
    <row r="588">
      <c r="A588" t="inlineStr">
        <is>
          <t>CTR-00596</t>
        </is>
      </c>
      <c r="B588" t="inlineStr">
        <is>
          <t>CLI-00135</t>
        </is>
      </c>
      <c r="C588" t="inlineStr">
        <is>
          <t>Île-de-France</t>
        </is>
      </c>
      <c r="D588" t="inlineStr">
        <is>
          <t>auto</t>
        </is>
      </c>
      <c r="E588" t="inlineStr">
        <is>
          <t>LLD</t>
        </is>
      </c>
      <c r="F588" t="inlineStr">
        <is>
          <t>2025-07-24</t>
        </is>
      </c>
      <c r="G588" s="4" t="n">
        <v>23730.36</v>
      </c>
      <c r="H588" s="4">
        <f>MAX(0,G588-SUMIFS('Paiements contrat'!$B:$B,'Paiements contrat'!$A:$A,A588))</f>
        <v/>
      </c>
      <c r="I588" s="4" t="n">
        <v>16959.15</v>
      </c>
      <c r="J588" t="inlineStr">
        <is>
          <t>actif</t>
        </is>
      </c>
    </row>
    <row r="589">
      <c r="A589" t="inlineStr">
        <is>
          <t>CTR-00597</t>
        </is>
      </c>
      <c r="B589" t="inlineStr">
        <is>
          <t>CLI-01331</t>
        </is>
      </c>
      <c r="C589" t="inlineStr">
        <is>
          <t>Île-de-France</t>
        </is>
      </c>
      <c r="D589" t="inlineStr">
        <is>
          <t>auto</t>
        </is>
      </c>
      <c r="E589" t="inlineStr">
        <is>
          <t>LLD</t>
        </is>
      </c>
      <c r="F589" t="inlineStr">
        <is>
          <t>2024-05-24</t>
        </is>
      </c>
      <c r="G589" s="4" t="n">
        <v>49672.3</v>
      </c>
      <c r="H589" s="4">
        <f>MAX(0,G589-SUMIFS('Paiements contrat'!$B:$B,'Paiements contrat'!$A:$A,A589))</f>
        <v/>
      </c>
      <c r="I589" s="4" t="n">
        <v>24121.27</v>
      </c>
      <c r="J589" t="inlineStr">
        <is>
          <t>actif</t>
        </is>
      </c>
    </row>
    <row r="590">
      <c r="A590" t="inlineStr">
        <is>
          <t>CTR-00598</t>
        </is>
      </c>
      <c r="B590" t="inlineStr">
        <is>
          <t>CLI-01165</t>
        </is>
      </c>
      <c r="C590" t="inlineStr">
        <is>
          <t>Île-de-France</t>
        </is>
      </c>
      <c r="D590" t="inlineStr">
        <is>
          <t>auto</t>
        </is>
      </c>
      <c r="E590" t="inlineStr">
        <is>
          <t>LOA</t>
        </is>
      </c>
      <c r="F590" t="inlineStr">
        <is>
          <t>2024-04-06</t>
        </is>
      </c>
      <c r="G590" s="4" t="n">
        <v>79703.53999999999</v>
      </c>
      <c r="H590" s="4">
        <f>MAX(0,G590-SUMIFS('Paiements contrat'!$B:$B,'Paiements contrat'!$A:$A,A590))</f>
        <v/>
      </c>
      <c r="I590" s="4" t="n">
        <v>54592.39534125812</v>
      </c>
      <c r="J590" t="inlineStr">
        <is>
          <t>actif</t>
        </is>
      </c>
    </row>
    <row r="591">
      <c r="A591" t="inlineStr">
        <is>
          <t>CTR-00599</t>
        </is>
      </c>
      <c r="B591" t="inlineStr">
        <is>
          <t>CLI-00336</t>
        </is>
      </c>
      <c r="C591" t="inlineStr">
        <is>
          <t>Île-de-France</t>
        </is>
      </c>
      <c r="D591" t="inlineStr">
        <is>
          <t>auto</t>
        </is>
      </c>
      <c r="E591" t="inlineStr">
        <is>
          <t>LOA</t>
        </is>
      </c>
      <c r="F591" t="inlineStr">
        <is>
          <t>2025-12-18</t>
        </is>
      </c>
      <c r="G591" s="4" t="n">
        <v>61823.39</v>
      </c>
      <c r="H591" s="4">
        <f>MAX(0,G591-SUMIFS('Paiements contrat'!$B:$B,'Paiements contrat'!$A:$A,A591))</f>
        <v/>
      </c>
      <c r="I591" s="4" t="n">
        <v>58541.12</v>
      </c>
      <c r="J591" t="inlineStr">
        <is>
          <t>actif</t>
        </is>
      </c>
    </row>
    <row r="592">
      <c r="A592" t="inlineStr">
        <is>
          <t>CTR-00600</t>
        </is>
      </c>
      <c r="B592" t="inlineStr">
        <is>
          <t>CLI-00824</t>
        </is>
      </c>
      <c r="C592" t="inlineStr">
        <is>
          <t>Île-de-France</t>
        </is>
      </c>
      <c r="D592" t="inlineStr">
        <is>
          <t>materiel</t>
        </is>
      </c>
      <c r="E592" t="inlineStr">
        <is>
          <t>crédit-bail</t>
        </is>
      </c>
      <c r="F592" t="inlineStr">
        <is>
          <t>2024-07-18</t>
        </is>
      </c>
      <c r="G592" s="4" t="n">
        <v>157865.58</v>
      </c>
      <c r="H592" s="4">
        <f>MAX(0,G592-SUMIFS('Paiements contrat'!$B:$B,'Paiements contrat'!$A:$A,A592))</f>
        <v/>
      </c>
      <c r="I592" s="4" t="n">
        <v>69518.09999999999</v>
      </c>
      <c r="J592" t="inlineStr">
        <is>
          <t>actif</t>
        </is>
      </c>
    </row>
    <row r="593">
      <c r="A593" t="inlineStr">
        <is>
          <t>CTR-00601</t>
        </is>
      </c>
      <c r="B593" t="inlineStr">
        <is>
          <t>CLI-00595</t>
        </is>
      </c>
      <c r="C593" t="inlineStr">
        <is>
          <t>Martinique</t>
        </is>
      </c>
      <c r="D593" t="inlineStr">
        <is>
          <t>auto</t>
        </is>
      </c>
      <c r="E593" t="inlineStr">
        <is>
          <t>LOA</t>
        </is>
      </c>
      <c r="F593" t="inlineStr">
        <is>
          <t>2024-10-09</t>
        </is>
      </c>
      <c r="G593" s="4" t="n">
        <v>44024.28</v>
      </c>
      <c r="H593" s="4">
        <f>MAX(0,G593-SUMIFS('Paiements contrat'!$B:$B,'Paiements contrat'!$A:$A,A593))</f>
        <v/>
      </c>
      <c r="I593" s="4" t="n">
        <v>13610.92351385758</v>
      </c>
      <c r="J593" t="inlineStr">
        <is>
          <t>actif</t>
        </is>
      </c>
    </row>
    <row r="594">
      <c r="A594" t="inlineStr">
        <is>
          <t>CTR-00602</t>
        </is>
      </c>
      <c r="B594" t="inlineStr">
        <is>
          <t>CLI-01015</t>
        </is>
      </c>
      <c r="C594" t="inlineStr">
        <is>
          <t>Île-de-France</t>
        </is>
      </c>
      <c r="D594" t="inlineStr">
        <is>
          <t>auto</t>
        </is>
      </c>
      <c r="E594" t="inlineStr">
        <is>
          <t>LOA</t>
        </is>
      </c>
      <c r="F594" t="inlineStr">
        <is>
          <t>2025-11-27</t>
        </is>
      </c>
      <c r="G594" s="4" t="n">
        <v>44146.46</v>
      </c>
      <c r="H594" s="4">
        <f>MAX(0,G594-SUMIFS('Paiements contrat'!$B:$B,'Paiements contrat'!$A:$A,A594))</f>
        <v/>
      </c>
      <c r="I594" s="4" t="n">
        <v>40760.28</v>
      </c>
      <c r="J594" t="inlineStr">
        <is>
          <t>actif</t>
        </is>
      </c>
    </row>
    <row r="595">
      <c r="A595" t="inlineStr">
        <is>
          <t>CTR-00603</t>
        </is>
      </c>
      <c r="B595" t="inlineStr">
        <is>
          <t>CLI-00687</t>
        </is>
      </c>
      <c r="C595" t="inlineStr">
        <is>
          <t>Île-de-France</t>
        </is>
      </c>
      <c r="D595" t="inlineStr">
        <is>
          <t>auto</t>
        </is>
      </c>
      <c r="E595" t="inlineStr">
        <is>
          <t>LLD</t>
        </is>
      </c>
      <c r="F595" t="inlineStr">
        <is>
          <t>2025-07-11</t>
        </is>
      </c>
      <c r="G595" s="4" t="n">
        <v>19096.96</v>
      </c>
      <c r="H595" s="4">
        <f>MAX(0,G595-SUMIFS('Paiements contrat'!$B:$B,'Paiements contrat'!$A:$A,A595))</f>
        <v/>
      </c>
      <c r="I595" s="4" t="n">
        <v>13640.76</v>
      </c>
      <c r="J595" t="inlineStr">
        <is>
          <t>actif</t>
        </is>
      </c>
    </row>
    <row r="596">
      <c r="A596" t="inlineStr">
        <is>
          <t>CTR-00604</t>
        </is>
      </c>
      <c r="B596" t="inlineStr">
        <is>
          <t>CLI-00847</t>
        </is>
      </c>
      <c r="C596" t="inlineStr">
        <is>
          <t>Île-de-France</t>
        </is>
      </c>
      <c r="D596" t="inlineStr">
        <is>
          <t>auto</t>
        </is>
      </c>
      <c r="E596" t="inlineStr">
        <is>
          <t>LLD</t>
        </is>
      </c>
      <c r="F596" t="inlineStr">
        <is>
          <t>2026-03-22</t>
        </is>
      </c>
      <c r="G596" s="4" t="n">
        <v>19876.2</v>
      </c>
      <c r="H596" s="4">
        <f>MAX(0,G596-SUMIFS('Paiements contrat'!$B:$B,'Paiements contrat'!$A:$A,A596))</f>
        <v/>
      </c>
      <c r="I596" s="4" t="n">
        <v>19876.2</v>
      </c>
      <c r="J596" t="inlineStr">
        <is>
          <t>actif</t>
        </is>
      </c>
    </row>
    <row r="597">
      <c r="A597" t="inlineStr">
        <is>
          <t>CTR-00605</t>
        </is>
      </c>
      <c r="B597" t="inlineStr">
        <is>
          <t>CLI-00119</t>
        </is>
      </c>
      <c r="C597" t="inlineStr">
        <is>
          <t>Île-de-France</t>
        </is>
      </c>
      <c r="D597" t="inlineStr">
        <is>
          <t>auto</t>
        </is>
      </c>
      <c r="E597" t="inlineStr">
        <is>
          <t>LLD</t>
        </is>
      </c>
      <c r="F597" t="inlineStr">
        <is>
          <t>2025-07-05</t>
        </is>
      </c>
      <c r="G597" s="4" t="n">
        <v>41541.23</v>
      </c>
      <c r="H597" s="4">
        <f>MAX(0,G597-SUMIFS('Paiements contrat'!$B:$B,'Paiements contrat'!$A:$A,A597))</f>
        <v/>
      </c>
      <c r="I597" s="4" t="n">
        <v>33844.48</v>
      </c>
      <c r="J597" t="inlineStr">
        <is>
          <t>actif</t>
        </is>
      </c>
    </row>
    <row r="598">
      <c r="A598" t="inlineStr">
        <is>
          <t>CTR-00606</t>
        </is>
      </c>
      <c r="B598" t="inlineStr">
        <is>
          <t>CLI-00706</t>
        </is>
      </c>
      <c r="C598" t="inlineStr">
        <is>
          <t>Martinique</t>
        </is>
      </c>
      <c r="D598" t="inlineStr">
        <is>
          <t>auto</t>
        </is>
      </c>
      <c r="E598" t="inlineStr">
        <is>
          <t>LOA</t>
        </is>
      </c>
      <c r="F598" t="inlineStr">
        <is>
          <t>2025-03-05</t>
        </is>
      </c>
      <c r="G598" s="4" t="n">
        <v>30332.72</v>
      </c>
      <c r="H598" s="4">
        <f>MAX(0,G598-SUMIFS('Paiements contrat'!$B:$B,'Paiements contrat'!$A:$A,A598))</f>
        <v/>
      </c>
      <c r="I598" s="4" t="n">
        <v>24585.74</v>
      </c>
      <c r="J598" t="inlineStr">
        <is>
          <t>actif</t>
        </is>
      </c>
    </row>
    <row r="599">
      <c r="A599" t="inlineStr">
        <is>
          <t>CTR-00607</t>
        </is>
      </c>
      <c r="B599" t="inlineStr">
        <is>
          <t>CLI-00146</t>
        </is>
      </c>
      <c r="C599" t="inlineStr">
        <is>
          <t>Martinique</t>
        </is>
      </c>
      <c r="D599" t="inlineStr">
        <is>
          <t>auto</t>
        </is>
      </c>
      <c r="E599" t="inlineStr">
        <is>
          <t>LLD</t>
        </is>
      </c>
      <c r="F599" t="inlineStr">
        <is>
          <t>2025-03-13</t>
        </is>
      </c>
      <c r="G599" s="4" t="n">
        <v>32151.51</v>
      </c>
      <c r="H599" s="4">
        <f>MAX(0,G599-SUMIFS('Paiements contrat'!$B:$B,'Paiements contrat'!$A:$A,A599))</f>
        <v/>
      </c>
      <c r="I599" s="4" t="n">
        <v>20239.37</v>
      </c>
      <c r="J599" t="inlineStr">
        <is>
          <t>actif</t>
        </is>
      </c>
    </row>
    <row r="600">
      <c r="A600" t="inlineStr">
        <is>
          <t>CTR-00608</t>
        </is>
      </c>
      <c r="B600" t="inlineStr">
        <is>
          <t>CLI-00856</t>
        </is>
      </c>
      <c r="C600" t="inlineStr">
        <is>
          <t>Île-de-France</t>
        </is>
      </c>
      <c r="D600" t="inlineStr">
        <is>
          <t>auto</t>
        </is>
      </c>
      <c r="E600" t="inlineStr">
        <is>
          <t>LOA</t>
        </is>
      </c>
      <c r="F600" t="inlineStr">
        <is>
          <t>2025-11-26</t>
        </is>
      </c>
      <c r="G600" s="4" t="n">
        <v>20498.42</v>
      </c>
      <c r="H600" s="4">
        <f>MAX(0,G600-SUMIFS('Paiements contrat'!$B:$B,'Paiements contrat'!$A:$A,A600))</f>
        <v/>
      </c>
      <c r="I600" s="4" t="n">
        <v>16146.39</v>
      </c>
      <c r="J600" t="inlineStr">
        <is>
          <t>actif</t>
        </is>
      </c>
    </row>
    <row r="601">
      <c r="A601" t="inlineStr">
        <is>
          <t>CTR-00609</t>
        </is>
      </c>
      <c r="B601" t="inlineStr">
        <is>
          <t>CLI-00863</t>
        </is>
      </c>
      <c r="C601" t="inlineStr">
        <is>
          <t>Île-de-France</t>
        </is>
      </c>
      <c r="D601" t="inlineStr">
        <is>
          <t>materiel</t>
        </is>
      </c>
      <c r="E601" t="inlineStr">
        <is>
          <t>crédit-bail</t>
        </is>
      </c>
      <c r="F601" t="inlineStr">
        <is>
          <t>2025-12-23</t>
        </is>
      </c>
      <c r="G601" s="4" t="n">
        <v>159403.75</v>
      </c>
      <c r="H601" s="4">
        <f>MAX(0,G601-SUMIFS('Paiements contrat'!$B:$B,'Paiements contrat'!$A:$A,A601))</f>
        <v/>
      </c>
      <c r="I601" s="4" t="n">
        <v>140853.21</v>
      </c>
      <c r="J601" t="inlineStr">
        <is>
          <t>actif</t>
        </is>
      </c>
    </row>
    <row r="602">
      <c r="A602" t="inlineStr">
        <is>
          <t>CTR-00610</t>
        </is>
      </c>
      <c r="B602" t="inlineStr">
        <is>
          <t>CLI-00151</t>
        </is>
      </c>
      <c r="C602" t="inlineStr">
        <is>
          <t>Île-de-France</t>
        </is>
      </c>
      <c r="D602" t="inlineStr">
        <is>
          <t>materiel</t>
        </is>
      </c>
      <c r="E602" t="inlineStr">
        <is>
          <t>crédit-bail</t>
        </is>
      </c>
      <c r="F602" t="inlineStr">
        <is>
          <t>2025-11-07</t>
        </is>
      </c>
      <c r="G602" s="4" t="n">
        <v>104098.91</v>
      </c>
      <c r="H602" s="4">
        <f>MAX(0,G602-SUMIFS('Paiements contrat'!$B:$B,'Paiements contrat'!$A:$A,A602))</f>
        <v/>
      </c>
      <c r="I602" s="4" t="n">
        <v>87786.31</v>
      </c>
      <c r="J602" t="inlineStr">
        <is>
          <t>actif</t>
        </is>
      </c>
    </row>
    <row r="603">
      <c r="A603" t="inlineStr">
        <is>
          <t>CTR-00611</t>
        </is>
      </c>
      <c r="B603" t="inlineStr">
        <is>
          <t>CLI-00613</t>
        </is>
      </c>
      <c r="C603" t="inlineStr">
        <is>
          <t>Réunion</t>
        </is>
      </c>
      <c r="D603" t="inlineStr">
        <is>
          <t>auto</t>
        </is>
      </c>
      <c r="E603" t="inlineStr">
        <is>
          <t>LLD</t>
        </is>
      </c>
      <c r="F603" t="inlineStr">
        <is>
          <t>2026-01-07</t>
        </is>
      </c>
      <c r="G603" s="4" t="n">
        <v>19878.22</v>
      </c>
      <c r="H603" s="4">
        <f>MAX(0,G603-SUMIFS('Paiements contrat'!$B:$B,'Paiements contrat'!$A:$A,A603))</f>
        <v/>
      </c>
      <c r="I603" s="4" t="n">
        <v>18617.34</v>
      </c>
      <c r="J603" t="inlineStr">
        <is>
          <t>actif</t>
        </is>
      </c>
    </row>
    <row r="604">
      <c r="A604" t="inlineStr">
        <is>
          <t>CTR-00613</t>
        </is>
      </c>
      <c r="B604" t="inlineStr">
        <is>
          <t>CLI-01136</t>
        </is>
      </c>
      <c r="C604" t="inlineStr">
        <is>
          <t>Île-de-France</t>
        </is>
      </c>
      <c r="D604" t="inlineStr">
        <is>
          <t>auto</t>
        </is>
      </c>
      <c r="E604" t="inlineStr">
        <is>
          <t>LOA</t>
        </is>
      </c>
      <c r="F604" t="inlineStr">
        <is>
          <t>2024-10-01</t>
        </is>
      </c>
      <c r="G604" s="4" t="n">
        <v>32910.63</v>
      </c>
      <c r="H604" s="4">
        <f>MAX(0,G604-SUMIFS('Paiements contrat'!$B:$B,'Paiements contrat'!$A:$A,A604))</f>
        <v/>
      </c>
      <c r="I604" s="4" t="n">
        <v>19303.01</v>
      </c>
      <c r="J604" t="inlineStr">
        <is>
          <t>actif</t>
        </is>
      </c>
    </row>
    <row r="605">
      <c r="A605" t="inlineStr">
        <is>
          <t>CTR-00614</t>
        </is>
      </c>
      <c r="B605" t="inlineStr">
        <is>
          <t>CLI-00462</t>
        </is>
      </c>
      <c r="C605" t="inlineStr">
        <is>
          <t>Île-de-France</t>
        </is>
      </c>
      <c r="D605" t="inlineStr">
        <is>
          <t>auto</t>
        </is>
      </c>
      <c r="E605" t="inlineStr">
        <is>
          <t>LLD</t>
        </is>
      </c>
      <c r="F605" t="inlineStr">
        <is>
          <t>2025-12-20</t>
        </is>
      </c>
      <c r="G605" s="4" t="n">
        <v>47942.81</v>
      </c>
      <c r="H605" s="4">
        <f>MAX(0,G605-SUMIFS('Paiements contrat'!$B:$B,'Paiements contrat'!$A:$A,A605))</f>
        <v/>
      </c>
      <c r="I605" s="4" t="n">
        <v>44381.64</v>
      </c>
      <c r="J605" t="inlineStr">
        <is>
          <t>actif</t>
        </is>
      </c>
    </row>
    <row r="606">
      <c r="A606" t="inlineStr">
        <is>
          <t>CTR-00615</t>
        </is>
      </c>
      <c r="B606" t="inlineStr">
        <is>
          <t>CLI-00968</t>
        </is>
      </c>
      <c r="C606" t="inlineStr">
        <is>
          <t>Île-de-France</t>
        </is>
      </c>
      <c r="D606" t="inlineStr">
        <is>
          <t>materiel</t>
        </is>
      </c>
      <c r="E606" t="inlineStr">
        <is>
          <t>crédit-bail</t>
        </is>
      </c>
      <c r="F606" t="inlineStr">
        <is>
          <t>2024-04-22</t>
        </is>
      </c>
      <c r="G606" s="4" t="n">
        <v>52820.91</v>
      </c>
      <c r="H606" s="4">
        <f>MAX(0,G606-SUMIFS('Paiements contrat'!$B:$B,'Paiements contrat'!$A:$A,A606))</f>
        <v/>
      </c>
      <c r="I606" s="4" t="n">
        <v>34566.97</v>
      </c>
      <c r="J606" t="inlineStr">
        <is>
          <t>actif</t>
        </is>
      </c>
    </row>
    <row r="607">
      <c r="A607" t="inlineStr">
        <is>
          <t>CTR-00616</t>
        </is>
      </c>
      <c r="B607" t="inlineStr">
        <is>
          <t>CLI-01479</t>
        </is>
      </c>
      <c r="C607" t="inlineStr">
        <is>
          <t>Île-de-France</t>
        </is>
      </c>
      <c r="D607" t="inlineStr">
        <is>
          <t>auto</t>
        </is>
      </c>
      <c r="E607" t="inlineStr">
        <is>
          <t>LOA</t>
        </is>
      </c>
      <c r="F607" t="inlineStr">
        <is>
          <t>2025-10-23</t>
        </is>
      </c>
      <c r="G607" s="4" t="n">
        <v>44120.42</v>
      </c>
      <c r="H607" s="4">
        <f>MAX(0,G607-SUMIFS('Paiements contrat'!$B:$B,'Paiements contrat'!$A:$A,A607))</f>
        <v/>
      </c>
      <c r="I607" s="4" t="n">
        <v>35153.5</v>
      </c>
      <c r="J607" t="inlineStr">
        <is>
          <t>contentieux</t>
        </is>
      </c>
    </row>
    <row r="608">
      <c r="A608" t="inlineStr">
        <is>
          <t>CTR-00617</t>
        </is>
      </c>
      <c r="B608" t="inlineStr">
        <is>
          <t>CLI-00780</t>
        </is>
      </c>
      <c r="C608" t="inlineStr">
        <is>
          <t>Guadeloupe</t>
        </is>
      </c>
      <c r="D608" t="inlineStr">
        <is>
          <t>auto</t>
        </is>
      </c>
      <c r="E608" t="inlineStr">
        <is>
          <t>LLD</t>
        </is>
      </c>
      <c r="F608" t="inlineStr">
        <is>
          <t>2025-08-22</t>
        </is>
      </c>
      <c r="G608" s="4" t="n">
        <v>12709.91</v>
      </c>
      <c r="H608" s="4">
        <f>MAX(0,G608-SUMIFS('Paiements contrat'!$B:$B,'Paiements contrat'!$A:$A,A608))</f>
        <v/>
      </c>
      <c r="I608" s="4" t="n">
        <v>10339.95</v>
      </c>
      <c r="J608" t="inlineStr">
        <is>
          <t>actif</t>
        </is>
      </c>
    </row>
    <row r="609">
      <c r="A609" t="inlineStr">
        <is>
          <t>CTR-00618</t>
        </is>
      </c>
      <c r="B609" t="inlineStr">
        <is>
          <t>CLI-01273</t>
        </is>
      </c>
      <c r="C609" t="inlineStr">
        <is>
          <t>Martinique</t>
        </is>
      </c>
      <c r="D609" t="inlineStr">
        <is>
          <t>materiel</t>
        </is>
      </c>
      <c r="E609" t="inlineStr">
        <is>
          <t>crédit-bail</t>
        </is>
      </c>
      <c r="F609" t="inlineStr">
        <is>
          <t>2026-03-22</t>
        </is>
      </c>
      <c r="G609" s="4" t="n">
        <v>77166.39</v>
      </c>
      <c r="H609" s="4">
        <f>MAX(0,G609-SUMIFS('Paiements contrat'!$B:$B,'Paiements contrat'!$A:$A,A609))</f>
        <v/>
      </c>
      <c r="I609" s="4" t="n">
        <v>77166.39</v>
      </c>
      <c r="J609" t="inlineStr">
        <is>
          <t>actif</t>
        </is>
      </c>
    </row>
    <row r="610">
      <c r="A610" t="inlineStr">
        <is>
          <t>CTR-00619</t>
        </is>
      </c>
      <c r="B610" t="inlineStr">
        <is>
          <t>CLI-01066</t>
        </is>
      </c>
      <c r="C610" t="inlineStr">
        <is>
          <t>Île-de-France</t>
        </is>
      </c>
      <c r="D610" t="inlineStr">
        <is>
          <t>bateau</t>
        </is>
      </c>
      <c r="E610" t="inlineStr">
        <is>
          <t>LOA</t>
        </is>
      </c>
      <c r="F610" t="inlineStr">
        <is>
          <t>2025-04-11</t>
        </is>
      </c>
      <c r="G610" s="4" t="n">
        <v>161938.64</v>
      </c>
      <c r="H610" s="4">
        <f>MAX(0,G610-SUMIFS('Paiements contrat'!$B:$B,'Paiements contrat'!$A:$A,A610))</f>
        <v/>
      </c>
      <c r="I610" s="4" t="n">
        <v>114886.48</v>
      </c>
      <c r="J610" t="inlineStr">
        <is>
          <t>actif</t>
        </is>
      </c>
    </row>
    <row r="611">
      <c r="A611" t="inlineStr">
        <is>
          <t>CTR-00620</t>
        </is>
      </c>
      <c r="B611" t="inlineStr">
        <is>
          <t>CLI-01070</t>
        </is>
      </c>
      <c r="C611" t="inlineStr">
        <is>
          <t>Île-de-France</t>
        </is>
      </c>
      <c r="D611" t="inlineStr">
        <is>
          <t>auto</t>
        </is>
      </c>
      <c r="E611" t="inlineStr">
        <is>
          <t>LOA</t>
        </is>
      </c>
      <c r="F611" t="inlineStr">
        <is>
          <t>2026-03-08</t>
        </is>
      </c>
      <c r="G611" s="4" t="n">
        <v>19080.21</v>
      </c>
      <c r="H611" s="4">
        <f>MAX(0,G611-SUMIFS('Paiements contrat'!$B:$B,'Paiements contrat'!$A:$A,A611))</f>
        <v/>
      </c>
      <c r="I611" s="4" t="n">
        <v>19080.21</v>
      </c>
      <c r="J611" t="inlineStr">
        <is>
          <t>contentieux</t>
        </is>
      </c>
    </row>
    <row r="612">
      <c r="A612" t="inlineStr">
        <is>
          <t>CTR-00621</t>
        </is>
      </c>
      <c r="B612" t="inlineStr">
        <is>
          <t>CLI-01069</t>
        </is>
      </c>
      <c r="C612" t="inlineStr">
        <is>
          <t>Île-de-France</t>
        </is>
      </c>
      <c r="D612" t="inlineStr">
        <is>
          <t>auto</t>
        </is>
      </c>
      <c r="E612" t="inlineStr">
        <is>
          <t>LOA</t>
        </is>
      </c>
      <c r="F612" t="inlineStr">
        <is>
          <t>2026-01-06</t>
        </is>
      </c>
      <c r="G612" s="4" t="n">
        <v>11457.78</v>
      </c>
      <c r="H612" s="4">
        <f>MAX(0,G612-SUMIFS('Paiements contrat'!$B:$B,'Paiements contrat'!$A:$A,A612))</f>
        <v/>
      </c>
      <c r="I612" s="4" t="n">
        <v>10877.7</v>
      </c>
      <c r="J612" t="inlineStr">
        <is>
          <t>actif</t>
        </is>
      </c>
    </row>
    <row r="613">
      <c r="A613" t="inlineStr">
        <is>
          <t>CTR-00622</t>
        </is>
      </c>
      <c r="B613" t="inlineStr">
        <is>
          <t>CLI-00223</t>
        </is>
      </c>
      <c r="C613" t="inlineStr">
        <is>
          <t>Île-de-France</t>
        </is>
      </c>
      <c r="D613" t="inlineStr">
        <is>
          <t>materiel</t>
        </is>
      </c>
      <c r="E613" t="inlineStr">
        <is>
          <t>crédit-bail</t>
        </is>
      </c>
      <c r="F613" t="inlineStr">
        <is>
          <t>2024-07-14</t>
        </is>
      </c>
      <c r="G613" s="4" t="n">
        <v>161622.23</v>
      </c>
      <c r="H613" s="4">
        <f>MAX(0,G613-SUMIFS('Paiements contrat'!$B:$B,'Paiements contrat'!$A:$A,A613))</f>
        <v/>
      </c>
      <c r="I613" s="4" t="n">
        <v>41618.49000000001</v>
      </c>
      <c r="J613" t="inlineStr">
        <is>
          <t>actif</t>
        </is>
      </c>
    </row>
    <row r="614">
      <c r="A614" t="inlineStr">
        <is>
          <t>CTR-00623</t>
        </is>
      </c>
      <c r="B614" t="inlineStr">
        <is>
          <t>CLI-00676</t>
        </is>
      </c>
      <c r="C614" t="inlineStr">
        <is>
          <t>Martinique</t>
        </is>
      </c>
      <c r="D614" t="inlineStr">
        <is>
          <t>auto</t>
        </is>
      </c>
      <c r="E614" t="inlineStr">
        <is>
          <t>LLD</t>
        </is>
      </c>
      <c r="F614" t="inlineStr">
        <is>
          <t>2025-05-13</t>
        </is>
      </c>
      <c r="G614" s="4" t="n">
        <v>63310.85</v>
      </c>
      <c r="H614" s="4">
        <f>MAX(0,G614-SUMIFS('Paiements contrat'!$B:$B,'Paiements contrat'!$A:$A,A614))</f>
        <v/>
      </c>
      <c r="I614" s="4" t="n">
        <v>47247.08</v>
      </c>
      <c r="J614" t="inlineStr">
        <is>
          <t>actif</t>
        </is>
      </c>
    </row>
    <row r="615">
      <c r="A615" t="inlineStr">
        <is>
          <t>CTR-00624</t>
        </is>
      </c>
      <c r="B615" t="inlineStr">
        <is>
          <t>CLI-00287</t>
        </is>
      </c>
      <c r="C615" t="inlineStr">
        <is>
          <t>Île-de-France</t>
        </is>
      </c>
      <c r="D615" t="inlineStr">
        <is>
          <t>auto</t>
        </is>
      </c>
      <c r="E615" t="inlineStr">
        <is>
          <t>LOA</t>
        </is>
      </c>
      <c r="F615" t="inlineStr">
        <is>
          <t>2024-06-09</t>
        </is>
      </c>
      <c r="G615" s="4" t="n">
        <v>19798.03</v>
      </c>
      <c r="H615" s="4">
        <f>MAX(0,G615-SUMIFS('Paiements contrat'!$B:$B,'Paiements contrat'!$A:$A,A615))</f>
        <v/>
      </c>
      <c r="I615" s="4" t="n">
        <v>9065.379999999999</v>
      </c>
      <c r="J615" t="inlineStr">
        <is>
          <t>actif</t>
        </is>
      </c>
    </row>
    <row r="616">
      <c r="A616" t="inlineStr">
        <is>
          <t>CTR-00625</t>
        </is>
      </c>
      <c r="B616" t="inlineStr">
        <is>
          <t>CLI-00757</t>
        </is>
      </c>
      <c r="C616" t="inlineStr">
        <is>
          <t>Île-de-France</t>
        </is>
      </c>
      <c r="D616" t="inlineStr">
        <is>
          <t>auto</t>
        </is>
      </c>
      <c r="E616" t="inlineStr">
        <is>
          <t>LLD</t>
        </is>
      </c>
      <c r="F616" t="inlineStr">
        <is>
          <t>2025-01-27</t>
        </is>
      </c>
      <c r="G616" s="4" t="n">
        <v>34404.44</v>
      </c>
      <c r="H616" s="4">
        <f>MAX(0,G616-SUMIFS('Paiements contrat'!$B:$B,'Paiements contrat'!$A:$A,A616))</f>
        <v/>
      </c>
      <c r="I616" s="4" t="n">
        <v>7867.650000000001</v>
      </c>
      <c r="J616" t="inlineStr">
        <is>
          <t>actif</t>
        </is>
      </c>
    </row>
    <row r="617">
      <c r="A617" t="inlineStr">
        <is>
          <t>CTR-00626</t>
        </is>
      </c>
      <c r="B617" t="inlineStr">
        <is>
          <t>CLI-00875</t>
        </is>
      </c>
      <c r="C617" t="inlineStr">
        <is>
          <t>Guyane</t>
        </is>
      </c>
      <c r="D617" t="inlineStr">
        <is>
          <t>materiel</t>
        </is>
      </c>
      <c r="E617" t="inlineStr">
        <is>
          <t>crédit-bail</t>
        </is>
      </c>
      <c r="F617" t="inlineStr">
        <is>
          <t>2024-08-06</t>
        </is>
      </c>
      <c r="G617" s="4" t="n">
        <v>47029.99</v>
      </c>
      <c r="H617" s="4">
        <f>MAX(0,G617-SUMIFS('Paiements contrat'!$B:$B,'Paiements contrat'!$A:$A,A617))</f>
        <v/>
      </c>
      <c r="I617" s="4" t="n">
        <v>26175.86</v>
      </c>
      <c r="J617" t="inlineStr">
        <is>
          <t>actif</t>
        </is>
      </c>
    </row>
    <row r="618">
      <c r="A618" t="inlineStr">
        <is>
          <t>CTR-00627</t>
        </is>
      </c>
      <c r="B618" t="inlineStr">
        <is>
          <t>CLI-00372</t>
        </is>
      </c>
      <c r="C618" t="inlineStr">
        <is>
          <t>Guyane</t>
        </is>
      </c>
      <c r="D618" t="inlineStr">
        <is>
          <t>materiel</t>
        </is>
      </c>
      <c r="E618" t="inlineStr">
        <is>
          <t>crédit-bail</t>
        </is>
      </c>
      <c r="F618" t="inlineStr">
        <is>
          <t>2024-04-25</t>
        </is>
      </c>
      <c r="G618" s="4" t="n">
        <v>120211.41</v>
      </c>
      <c r="H618" s="4">
        <f>MAX(0,G618-SUMIFS('Paiements contrat'!$B:$B,'Paiements contrat'!$A:$A,A618))</f>
        <v/>
      </c>
      <c r="I618" s="4" t="n">
        <v>7858.814646778963</v>
      </c>
      <c r="J618" t="inlineStr">
        <is>
          <t>actif</t>
        </is>
      </c>
    </row>
    <row r="619">
      <c r="A619" t="inlineStr">
        <is>
          <t>CTR-00628</t>
        </is>
      </c>
      <c r="B619" t="inlineStr">
        <is>
          <t>CLI-01347</t>
        </is>
      </c>
      <c r="C619" t="inlineStr">
        <is>
          <t>Île-de-France</t>
        </is>
      </c>
      <c r="D619" t="inlineStr">
        <is>
          <t>auto</t>
        </is>
      </c>
      <c r="E619" t="inlineStr">
        <is>
          <t>LOA</t>
        </is>
      </c>
      <c r="F619" t="inlineStr">
        <is>
          <t>2026-02-27</t>
        </is>
      </c>
      <c r="G619" s="4" t="n">
        <v>37173.53</v>
      </c>
      <c r="H619" s="4">
        <f>MAX(0,G619-SUMIFS('Paiements contrat'!$B:$B,'Paiements contrat'!$A:$A,A619))</f>
        <v/>
      </c>
      <c r="I619" s="4" t="n">
        <v>35706.36</v>
      </c>
      <c r="J619" t="inlineStr">
        <is>
          <t>actif</t>
        </is>
      </c>
    </row>
    <row r="620">
      <c r="A620" t="inlineStr">
        <is>
          <t>CTR-00629</t>
        </is>
      </c>
      <c r="B620" t="inlineStr">
        <is>
          <t>CLI-00616</t>
        </is>
      </c>
      <c r="C620" t="inlineStr">
        <is>
          <t>Île-de-France</t>
        </is>
      </c>
      <c r="D620" t="inlineStr">
        <is>
          <t>auto</t>
        </is>
      </c>
      <c r="E620" t="inlineStr">
        <is>
          <t>LOA</t>
        </is>
      </c>
      <c r="F620" t="inlineStr">
        <is>
          <t>2024-07-11</t>
        </is>
      </c>
      <c r="G620" s="4" t="n">
        <v>56062.92</v>
      </c>
      <c r="H620" s="4">
        <f>MAX(0,G620-SUMIFS('Paiements contrat'!$B:$B,'Paiements contrat'!$A:$A,A620))</f>
        <v/>
      </c>
      <c r="I620" s="4" t="n">
        <v>29235.8</v>
      </c>
      <c r="J620" t="inlineStr">
        <is>
          <t>actif</t>
        </is>
      </c>
    </row>
    <row r="621">
      <c r="A621" t="inlineStr">
        <is>
          <t>CTR-00630</t>
        </is>
      </c>
      <c r="B621" t="inlineStr">
        <is>
          <t>CLI-00761</t>
        </is>
      </c>
      <c r="C621" t="inlineStr">
        <is>
          <t>Île-de-France</t>
        </is>
      </c>
      <c r="D621" t="inlineStr">
        <is>
          <t>auto</t>
        </is>
      </c>
      <c r="E621" t="inlineStr">
        <is>
          <t>LOA</t>
        </is>
      </c>
      <c r="F621" t="inlineStr">
        <is>
          <t>2024-04-08</t>
        </is>
      </c>
      <c r="G621" s="4" t="n">
        <v>8301.969999999999</v>
      </c>
      <c r="H621" s="4">
        <f>MAX(0,G621-SUMIFS('Paiements contrat'!$B:$B,'Paiements contrat'!$A:$A,A621))</f>
        <v/>
      </c>
      <c r="I621" s="4" t="n">
        <v>1037.409999999999</v>
      </c>
      <c r="J621" t="inlineStr">
        <is>
          <t>actif</t>
        </is>
      </c>
    </row>
    <row r="622">
      <c r="A622" t="inlineStr">
        <is>
          <t>CTR-00632</t>
        </is>
      </c>
      <c r="B622" t="inlineStr">
        <is>
          <t>CLI-01244</t>
        </is>
      </c>
      <c r="C622" t="inlineStr">
        <is>
          <t>Île-de-France</t>
        </is>
      </c>
      <c r="D622" t="inlineStr">
        <is>
          <t>auto</t>
        </is>
      </c>
      <c r="E622" t="inlineStr">
        <is>
          <t>LOA</t>
        </is>
      </c>
      <c r="F622" t="inlineStr">
        <is>
          <t>2024-07-22</t>
        </is>
      </c>
      <c r="G622" s="4" t="n">
        <v>50212.27</v>
      </c>
      <c r="H622" s="4">
        <f>MAX(0,G622-SUMIFS('Paiements contrat'!$B:$B,'Paiements contrat'!$A:$A,A622))</f>
        <v/>
      </c>
      <c r="I622" s="4" t="n">
        <v>23661.28</v>
      </c>
      <c r="J622" t="inlineStr">
        <is>
          <t>actif</t>
        </is>
      </c>
    </row>
    <row r="623">
      <c r="A623" t="inlineStr">
        <is>
          <t>CTR-00633</t>
        </is>
      </c>
      <c r="B623" t="inlineStr">
        <is>
          <t>CLI-01197</t>
        </is>
      </c>
      <c r="C623" t="inlineStr">
        <is>
          <t>Réunion</t>
        </is>
      </c>
      <c r="D623" t="inlineStr">
        <is>
          <t>materiel</t>
        </is>
      </c>
      <c r="E623" t="inlineStr">
        <is>
          <t>crédit-bail</t>
        </is>
      </c>
      <c r="F623" t="inlineStr">
        <is>
          <t>2024-07-05</t>
        </is>
      </c>
      <c r="G623" s="4" t="n">
        <v>66776.02</v>
      </c>
      <c r="H623" s="4">
        <f>MAX(0,G623-SUMIFS('Paiements contrat'!$B:$B,'Paiements contrat'!$A:$A,A623))</f>
        <v/>
      </c>
      <c r="I623" s="4" t="n">
        <v>21964.33076858484</v>
      </c>
      <c r="J623" t="inlineStr">
        <is>
          <t>actif</t>
        </is>
      </c>
    </row>
    <row r="624">
      <c r="A624" t="inlineStr">
        <is>
          <t>CTR-00634</t>
        </is>
      </c>
      <c r="B624" t="inlineStr">
        <is>
          <t>CLI-01400</t>
        </is>
      </c>
      <c r="C624" t="inlineStr">
        <is>
          <t>Guyane</t>
        </is>
      </c>
      <c r="D624" t="inlineStr">
        <is>
          <t>auto</t>
        </is>
      </c>
      <c r="E624" t="inlineStr">
        <is>
          <t>LOA</t>
        </is>
      </c>
      <c r="F624" t="inlineStr">
        <is>
          <t>2024-09-25</t>
        </is>
      </c>
      <c r="G624" s="4" t="n">
        <v>27550.74</v>
      </c>
      <c r="H624" s="4">
        <f>MAX(0,G624-SUMIFS('Paiements contrat'!$B:$B,'Paiements contrat'!$A:$A,A624))</f>
        <v/>
      </c>
      <c r="I624" s="4" t="n">
        <v>8225.780000000002</v>
      </c>
      <c r="J624" t="inlineStr">
        <is>
          <t>actif</t>
        </is>
      </c>
    </row>
    <row r="625">
      <c r="A625" t="inlineStr">
        <is>
          <t>CTR-00635</t>
        </is>
      </c>
      <c r="B625" t="inlineStr">
        <is>
          <t>CLI-00833</t>
        </is>
      </c>
      <c r="C625" t="inlineStr">
        <is>
          <t>Martinique</t>
        </is>
      </c>
      <c r="D625" t="inlineStr">
        <is>
          <t>auto</t>
        </is>
      </c>
      <c r="E625" t="inlineStr">
        <is>
          <t>LLD</t>
        </is>
      </c>
      <c r="F625" t="inlineStr">
        <is>
          <t>2025-03-21</t>
        </is>
      </c>
      <c r="G625" s="4" t="n">
        <v>20368.02</v>
      </c>
      <c r="H625" s="4">
        <f>MAX(0,G625-SUMIFS('Paiements contrat'!$B:$B,'Paiements contrat'!$A:$A,A625))</f>
        <v/>
      </c>
      <c r="I625" s="4" t="n">
        <v>14450.55</v>
      </c>
      <c r="J625" t="inlineStr">
        <is>
          <t>contentieux</t>
        </is>
      </c>
    </row>
    <row r="626">
      <c r="A626" t="inlineStr">
        <is>
          <t>CTR-00636</t>
        </is>
      </c>
      <c r="B626" t="inlineStr">
        <is>
          <t>CLI-01365</t>
        </is>
      </c>
      <c r="C626" t="inlineStr">
        <is>
          <t>Île-de-France</t>
        </is>
      </c>
      <c r="D626" t="inlineStr">
        <is>
          <t>auto</t>
        </is>
      </c>
      <c r="E626" t="inlineStr">
        <is>
          <t>LLD</t>
        </is>
      </c>
      <c r="F626" t="inlineStr">
        <is>
          <t>2024-04-04</t>
        </is>
      </c>
      <c r="G626" s="4" t="n">
        <v>45402.9</v>
      </c>
      <c r="H626" s="4">
        <f>MAX(0,G626-SUMIFS('Paiements contrat'!$B:$B,'Paiements contrat'!$A:$A,A626))</f>
        <v/>
      </c>
      <c r="I626" s="4" t="n">
        <v>1952.209999999999</v>
      </c>
      <c r="J626" t="inlineStr">
        <is>
          <t>actif</t>
        </is>
      </c>
    </row>
    <row r="627">
      <c r="A627" t="inlineStr">
        <is>
          <t>CTR-00637</t>
        </is>
      </c>
      <c r="B627" t="inlineStr">
        <is>
          <t>CLI-00261</t>
        </is>
      </c>
      <c r="C627" t="inlineStr">
        <is>
          <t>Île-de-France</t>
        </is>
      </c>
      <c r="D627" t="inlineStr">
        <is>
          <t>materiel</t>
        </is>
      </c>
      <c r="E627" t="inlineStr">
        <is>
          <t>crédit-bail</t>
        </is>
      </c>
      <c r="F627" t="inlineStr">
        <is>
          <t>2024-11-21</t>
        </is>
      </c>
      <c r="G627" s="4" t="n">
        <v>66373.06</v>
      </c>
      <c r="H627" s="4">
        <f>MAX(0,G627-SUMIFS('Paiements contrat'!$B:$B,'Paiements contrat'!$A:$A,A627))</f>
        <v/>
      </c>
      <c r="I627" s="4" t="n">
        <v>32328.62363755232</v>
      </c>
      <c r="J627" t="inlineStr">
        <is>
          <t>actif</t>
        </is>
      </c>
    </row>
    <row r="628">
      <c r="A628" t="inlineStr">
        <is>
          <t>CTR-00638</t>
        </is>
      </c>
      <c r="B628" t="inlineStr">
        <is>
          <t>CLI-00232</t>
        </is>
      </c>
      <c r="C628" t="inlineStr">
        <is>
          <t>Île-de-France</t>
        </is>
      </c>
      <c r="D628" t="inlineStr">
        <is>
          <t>materiel</t>
        </is>
      </c>
      <c r="E628" t="inlineStr">
        <is>
          <t>crédit-bail</t>
        </is>
      </c>
      <c r="F628" t="inlineStr">
        <is>
          <t>2025-02-07</t>
        </is>
      </c>
      <c r="G628" s="4" t="n">
        <v>26402.84</v>
      </c>
      <c r="H628" s="4">
        <f>MAX(0,G628-SUMIFS('Paiements contrat'!$B:$B,'Paiements contrat'!$A:$A,A628))</f>
        <v/>
      </c>
      <c r="I628" s="4" t="n">
        <v>16603.70717562724</v>
      </c>
      <c r="J628" t="inlineStr">
        <is>
          <t>actif</t>
        </is>
      </c>
    </row>
    <row r="629">
      <c r="A629" t="inlineStr">
        <is>
          <t>CTR-00640</t>
        </is>
      </c>
      <c r="B629" t="inlineStr">
        <is>
          <t>CLI-00456</t>
        </is>
      </c>
      <c r="C629" t="inlineStr">
        <is>
          <t>Guyane</t>
        </is>
      </c>
      <c r="D629" t="inlineStr">
        <is>
          <t>materiel</t>
        </is>
      </c>
      <c r="E629" t="inlineStr">
        <is>
          <t>crédit-bail</t>
        </is>
      </c>
      <c r="F629" t="inlineStr">
        <is>
          <t>2025-04-24</t>
        </is>
      </c>
      <c r="G629" s="4" t="n">
        <v>84674.60000000001</v>
      </c>
      <c r="H629" s="4">
        <f>MAX(0,G629-SUMIFS('Paiements contrat'!$B:$B,'Paiements contrat'!$A:$A,A629))</f>
        <v/>
      </c>
      <c r="I629" s="4" t="n">
        <v>47947.31007384132</v>
      </c>
      <c r="J629" t="inlineStr">
        <is>
          <t>actif</t>
        </is>
      </c>
    </row>
    <row r="630">
      <c r="A630" t="inlineStr">
        <is>
          <t>CTR-00641</t>
        </is>
      </c>
      <c r="B630" t="inlineStr">
        <is>
          <t>CLI-00461</t>
        </is>
      </c>
      <c r="C630" t="inlineStr">
        <is>
          <t>Île-de-France</t>
        </is>
      </c>
      <c r="D630" t="inlineStr">
        <is>
          <t>auto</t>
        </is>
      </c>
      <c r="E630" t="inlineStr">
        <is>
          <t>LLD</t>
        </is>
      </c>
      <c r="F630" t="inlineStr">
        <is>
          <t>2024-09-27</t>
        </is>
      </c>
      <c r="G630" s="4" t="n">
        <v>64180.08</v>
      </c>
      <c r="H630" s="4">
        <f>MAX(0,G630-SUMIFS('Paiements contrat'!$B:$B,'Paiements contrat'!$A:$A,A630))</f>
        <v/>
      </c>
      <c r="I630" s="4" t="n">
        <v>0</v>
      </c>
      <c r="J630" t="inlineStr">
        <is>
          <t>soldé</t>
        </is>
      </c>
    </row>
    <row r="631">
      <c r="A631" t="inlineStr">
        <is>
          <t>CTR-00642</t>
        </is>
      </c>
      <c r="B631" t="inlineStr">
        <is>
          <t>CLI-00222</t>
        </is>
      </c>
      <c r="C631" t="inlineStr">
        <is>
          <t>Guyane</t>
        </is>
      </c>
      <c r="D631" t="inlineStr">
        <is>
          <t>auto</t>
        </is>
      </c>
      <c r="E631" t="inlineStr">
        <is>
          <t>LOA</t>
        </is>
      </c>
      <c r="F631" t="inlineStr">
        <is>
          <t>2024-07-02</t>
        </is>
      </c>
      <c r="G631" s="4" t="n">
        <v>28522.43</v>
      </c>
      <c r="H631" s="4">
        <f>MAX(0,G631-SUMIFS('Paiements contrat'!$B:$B,'Paiements contrat'!$A:$A,A631))</f>
        <v/>
      </c>
      <c r="I631" s="4" t="n">
        <v>12678.01</v>
      </c>
      <c r="J631" t="inlineStr">
        <is>
          <t>actif</t>
        </is>
      </c>
    </row>
    <row r="632">
      <c r="A632" t="inlineStr">
        <is>
          <t>CTR-00644</t>
        </is>
      </c>
      <c r="B632" t="inlineStr">
        <is>
          <t>CLI-00751</t>
        </is>
      </c>
      <c r="C632" t="inlineStr">
        <is>
          <t>Île-de-France</t>
        </is>
      </c>
      <c r="D632" t="inlineStr">
        <is>
          <t>auto</t>
        </is>
      </c>
      <c r="E632" t="inlineStr">
        <is>
          <t>LOA</t>
        </is>
      </c>
      <c r="F632" t="inlineStr">
        <is>
          <t>2024-07-19</t>
        </is>
      </c>
      <c r="G632" s="4" t="n">
        <v>19569.27</v>
      </c>
      <c r="H632" s="4">
        <f>MAX(0,G632-SUMIFS('Paiements contrat'!$B:$B,'Paiements contrat'!$A:$A,A632))</f>
        <v/>
      </c>
      <c r="I632" s="4" t="n">
        <v>13078.80175343486</v>
      </c>
      <c r="J632" t="inlineStr">
        <is>
          <t>actif</t>
        </is>
      </c>
    </row>
    <row r="633">
      <c r="A633" t="inlineStr">
        <is>
          <t>CTR-00645</t>
        </is>
      </c>
      <c r="B633" t="inlineStr">
        <is>
          <t>CLI-01050</t>
        </is>
      </c>
      <c r="C633" t="inlineStr">
        <is>
          <t>Guyane</t>
        </is>
      </c>
      <c r="D633" t="inlineStr">
        <is>
          <t>auto</t>
        </is>
      </c>
      <c r="E633" t="inlineStr">
        <is>
          <t>LLD</t>
        </is>
      </c>
      <c r="F633" t="inlineStr">
        <is>
          <t>2026-01-18</t>
        </is>
      </c>
      <c r="G633" s="4" t="n">
        <v>32332.3</v>
      </c>
      <c r="H633" s="4">
        <f>MAX(0,G633-SUMIFS('Paiements contrat'!$B:$B,'Paiements contrat'!$A:$A,A633))</f>
        <v/>
      </c>
      <c r="I633" s="4" t="n">
        <v>31179.7</v>
      </c>
      <c r="J633" t="inlineStr">
        <is>
          <t>actif</t>
        </is>
      </c>
    </row>
    <row r="634">
      <c r="A634" t="inlineStr">
        <is>
          <t>CTR-00646</t>
        </is>
      </c>
      <c r="B634" t="inlineStr">
        <is>
          <t>CLI-01059</t>
        </is>
      </c>
      <c r="C634" t="inlineStr">
        <is>
          <t>Île-de-France</t>
        </is>
      </c>
      <c r="D634" t="inlineStr">
        <is>
          <t>auto</t>
        </is>
      </c>
      <c r="E634" t="inlineStr">
        <is>
          <t>LOA</t>
        </is>
      </c>
      <c r="F634" t="inlineStr">
        <is>
          <t>2024-10-17</t>
        </is>
      </c>
      <c r="G634" s="4" t="n">
        <v>60868.11</v>
      </c>
      <c r="H634" s="4">
        <f>MAX(0,G634-SUMIFS('Paiements contrat'!$B:$B,'Paiements contrat'!$A:$A,A634))</f>
        <v/>
      </c>
      <c r="I634" s="4" t="n">
        <v>7022.559999999998</v>
      </c>
      <c r="J634" t="inlineStr">
        <is>
          <t>actif</t>
        </is>
      </c>
    </row>
    <row r="635">
      <c r="A635" t="inlineStr">
        <is>
          <t>CTR-00647</t>
        </is>
      </c>
      <c r="B635" t="inlineStr">
        <is>
          <t>CLI-00729</t>
        </is>
      </c>
      <c r="C635" t="inlineStr">
        <is>
          <t>Île-de-France</t>
        </is>
      </c>
      <c r="D635" t="inlineStr">
        <is>
          <t>materiel</t>
        </is>
      </c>
      <c r="E635" t="inlineStr">
        <is>
          <t>crédit-bail</t>
        </is>
      </c>
      <c r="F635" t="inlineStr">
        <is>
          <t>2025-05-19</t>
        </is>
      </c>
      <c r="G635" s="4" t="n">
        <v>100741.55</v>
      </c>
      <c r="H635" s="4">
        <f>MAX(0,G635-SUMIFS('Paiements contrat'!$B:$B,'Paiements contrat'!$A:$A,A635))</f>
        <v/>
      </c>
      <c r="I635" s="4" t="n">
        <v>85387.25</v>
      </c>
      <c r="J635" t="inlineStr">
        <is>
          <t>actif</t>
        </is>
      </c>
    </row>
    <row r="636">
      <c r="A636" t="inlineStr">
        <is>
          <t>CTR-00648</t>
        </is>
      </c>
      <c r="B636" t="inlineStr">
        <is>
          <t>CLI-01060</t>
        </is>
      </c>
      <c r="C636" t="inlineStr">
        <is>
          <t>Île-de-France</t>
        </is>
      </c>
      <c r="D636" t="inlineStr">
        <is>
          <t>materiel</t>
        </is>
      </c>
      <c r="E636" t="inlineStr">
        <is>
          <t>crédit-bail</t>
        </is>
      </c>
      <c r="F636" t="inlineStr">
        <is>
          <t>2024-04-23</t>
        </is>
      </c>
      <c r="G636" s="4" t="n">
        <v>44678.07</v>
      </c>
      <c r="H636" s="4">
        <f>MAX(0,G636-SUMIFS('Paiements contrat'!$B:$B,'Paiements contrat'!$A:$A,A636))</f>
        <v/>
      </c>
      <c r="I636" s="4" t="n">
        <v>18396.48</v>
      </c>
      <c r="J636" t="inlineStr">
        <is>
          <t>actif</t>
        </is>
      </c>
    </row>
    <row r="637">
      <c r="A637" t="inlineStr">
        <is>
          <t>CTR-00649</t>
        </is>
      </c>
      <c r="B637" t="inlineStr">
        <is>
          <t>CLI-00720</t>
        </is>
      </c>
      <c r="C637" t="inlineStr">
        <is>
          <t>Guadeloupe</t>
        </is>
      </c>
      <c r="D637" t="inlineStr">
        <is>
          <t>auto</t>
        </is>
      </c>
      <c r="E637" t="inlineStr">
        <is>
          <t>LOA</t>
        </is>
      </c>
      <c r="F637" t="inlineStr">
        <is>
          <t>2025-09-11</t>
        </is>
      </c>
      <c r="G637" s="4" t="n">
        <v>12604.65</v>
      </c>
      <c r="H637" s="4">
        <f>MAX(0,G637-SUMIFS('Paiements contrat'!$B:$B,'Paiements contrat'!$A:$A,A637))</f>
        <v/>
      </c>
      <c r="I637" s="4" t="n">
        <v>10594.57</v>
      </c>
      <c r="J637" t="inlineStr">
        <is>
          <t>actif</t>
        </is>
      </c>
    </row>
    <row r="638">
      <c r="A638" t="inlineStr">
        <is>
          <t>CTR-00650</t>
        </is>
      </c>
      <c r="B638" t="inlineStr">
        <is>
          <t>CLI-00360</t>
        </is>
      </c>
      <c r="C638" t="inlineStr">
        <is>
          <t>Guadeloupe</t>
        </is>
      </c>
      <c r="D638" t="inlineStr">
        <is>
          <t>materiel</t>
        </is>
      </c>
      <c r="E638" t="inlineStr">
        <is>
          <t>crédit-bail</t>
        </is>
      </c>
      <c r="F638" t="inlineStr">
        <is>
          <t>2024-04-08</t>
        </is>
      </c>
      <c r="G638" s="4" t="n">
        <v>74628.33</v>
      </c>
      <c r="H638" s="4">
        <f>MAX(0,G638-SUMIFS('Paiements contrat'!$B:$B,'Paiements contrat'!$A:$A,A638))</f>
        <v/>
      </c>
      <c r="I638" s="4" t="n">
        <v>52004.96676275324</v>
      </c>
      <c r="J638" t="inlineStr">
        <is>
          <t>actif</t>
        </is>
      </c>
    </row>
    <row r="639">
      <c r="A639" t="inlineStr">
        <is>
          <t>CTR-00651</t>
        </is>
      </c>
      <c r="B639" t="inlineStr">
        <is>
          <t>CLI-00435</t>
        </is>
      </c>
      <c r="C639" t="inlineStr">
        <is>
          <t>Île-de-France</t>
        </is>
      </c>
      <c r="D639" t="inlineStr">
        <is>
          <t>auto</t>
        </is>
      </c>
      <c r="E639" t="inlineStr">
        <is>
          <t>LLD</t>
        </is>
      </c>
      <c r="F639" t="inlineStr">
        <is>
          <t>2024-08-10</t>
        </is>
      </c>
      <c r="G639" s="4" t="n">
        <v>40340.42</v>
      </c>
      <c r="H639" s="4">
        <f>MAX(0,G639-SUMIFS('Paiements contrat'!$B:$B,'Paiements contrat'!$A:$A,A639))</f>
        <v/>
      </c>
      <c r="I639" s="4" t="n">
        <v>10402.36</v>
      </c>
      <c r="J639" t="inlineStr">
        <is>
          <t>actif</t>
        </is>
      </c>
    </row>
    <row r="640">
      <c r="A640" t="inlineStr">
        <is>
          <t>CTR-00652</t>
        </is>
      </c>
      <c r="B640" t="inlineStr">
        <is>
          <t>CLI-00199</t>
        </is>
      </c>
      <c r="C640" t="inlineStr">
        <is>
          <t>Martinique</t>
        </is>
      </c>
      <c r="D640" t="inlineStr">
        <is>
          <t>auto</t>
        </is>
      </c>
      <c r="E640" t="inlineStr">
        <is>
          <t>LLD</t>
        </is>
      </c>
      <c r="F640" t="inlineStr">
        <is>
          <t>2025-10-20</t>
        </is>
      </c>
      <c r="G640" s="4" t="n">
        <v>64118.88</v>
      </c>
      <c r="H640" s="4">
        <f>MAX(0,G640-SUMIFS('Paiements contrat'!$B:$B,'Paiements contrat'!$A:$A,A640))</f>
        <v/>
      </c>
      <c r="I640" s="4" t="n">
        <v>53748.38</v>
      </c>
      <c r="J640" t="inlineStr">
        <is>
          <t>actif</t>
        </is>
      </c>
    </row>
    <row r="641">
      <c r="A641" t="inlineStr">
        <is>
          <t>CTR-00653</t>
        </is>
      </c>
      <c r="B641" t="inlineStr">
        <is>
          <t>CLI-00286</t>
        </is>
      </c>
      <c r="C641" t="inlineStr">
        <is>
          <t>Île-de-France</t>
        </is>
      </c>
      <c r="D641" t="inlineStr">
        <is>
          <t>auto</t>
        </is>
      </c>
      <c r="E641" t="inlineStr">
        <is>
          <t>LOA</t>
        </is>
      </c>
      <c r="F641" t="inlineStr">
        <is>
          <t>2025-09-23</t>
        </is>
      </c>
      <c r="G641" s="4" t="n">
        <v>26502.79</v>
      </c>
      <c r="H641" s="4">
        <f>MAX(0,G641-SUMIFS('Paiements contrat'!$B:$B,'Paiements contrat'!$A:$A,A641))</f>
        <v/>
      </c>
      <c r="I641" s="4" t="n">
        <v>17824.37</v>
      </c>
      <c r="J641" t="inlineStr">
        <is>
          <t>actif</t>
        </is>
      </c>
    </row>
    <row r="642">
      <c r="A642" t="inlineStr">
        <is>
          <t>CTR-00654</t>
        </is>
      </c>
      <c r="B642" t="inlineStr">
        <is>
          <t>CLI-00678</t>
        </is>
      </c>
      <c r="C642" t="inlineStr">
        <is>
          <t>Réunion</t>
        </is>
      </c>
      <c r="D642" t="inlineStr">
        <is>
          <t>auto</t>
        </is>
      </c>
      <c r="E642" t="inlineStr">
        <is>
          <t>LOA</t>
        </is>
      </c>
      <c r="F642" t="inlineStr">
        <is>
          <t>2025-10-23</t>
        </is>
      </c>
      <c r="G642" s="4" t="n">
        <v>70481.94</v>
      </c>
      <c r="H642" s="4">
        <f>MAX(0,G642-SUMIFS('Paiements contrat'!$B:$B,'Paiements contrat'!$A:$A,A642))</f>
        <v/>
      </c>
      <c r="I642" s="4" t="n">
        <v>44132.65993096981</v>
      </c>
      <c r="J642" t="inlineStr">
        <is>
          <t>actif</t>
        </is>
      </c>
    </row>
    <row r="643">
      <c r="A643" t="inlineStr">
        <is>
          <t>CTR-00655</t>
        </is>
      </c>
      <c r="B643" t="inlineStr">
        <is>
          <t>CLI-00883</t>
        </is>
      </c>
      <c r="C643" t="inlineStr">
        <is>
          <t>Île-de-France</t>
        </is>
      </c>
      <c r="D643" t="inlineStr">
        <is>
          <t>auto</t>
        </is>
      </c>
      <c r="E643" t="inlineStr">
        <is>
          <t>LOA</t>
        </is>
      </c>
      <c r="F643" t="inlineStr">
        <is>
          <t>2026-02-09</t>
        </is>
      </c>
      <c r="G643" s="4" t="n">
        <v>32033.33</v>
      </c>
      <c r="H643" s="4">
        <f>MAX(0,G643-SUMIFS('Paiements contrat'!$B:$B,'Paiements contrat'!$A:$A,A643))</f>
        <v/>
      </c>
      <c r="I643" s="4" t="n">
        <v>30351.8</v>
      </c>
      <c r="J643" t="inlineStr">
        <is>
          <t>actif</t>
        </is>
      </c>
    </row>
    <row r="644">
      <c r="A644" t="inlineStr">
        <is>
          <t>CTR-00656</t>
        </is>
      </c>
      <c r="B644" t="inlineStr">
        <is>
          <t>CLI-00541</t>
        </is>
      </c>
      <c r="C644" t="inlineStr">
        <is>
          <t>Guadeloupe</t>
        </is>
      </c>
      <c r="D644" t="inlineStr">
        <is>
          <t>auto</t>
        </is>
      </c>
      <c r="E644" t="inlineStr">
        <is>
          <t>LOA</t>
        </is>
      </c>
      <c r="F644" t="inlineStr">
        <is>
          <t>2026-02-09</t>
        </is>
      </c>
      <c r="G644" s="4" t="n">
        <v>62953.07</v>
      </c>
      <c r="H644" s="4">
        <f>MAX(0,G644-SUMIFS('Paiements contrat'!$B:$B,'Paiements contrat'!$A:$A,A644))</f>
        <v/>
      </c>
      <c r="I644" s="4" t="n">
        <v>61783.73</v>
      </c>
      <c r="J644" t="inlineStr">
        <is>
          <t>actif</t>
        </is>
      </c>
    </row>
    <row r="645">
      <c r="A645" t="inlineStr">
        <is>
          <t>CTR-00657</t>
        </is>
      </c>
      <c r="B645" t="inlineStr">
        <is>
          <t>CLI-01479</t>
        </is>
      </c>
      <c r="C645" t="inlineStr">
        <is>
          <t>Île-de-France</t>
        </is>
      </c>
      <c r="D645" t="inlineStr">
        <is>
          <t>auto</t>
        </is>
      </c>
      <c r="E645" t="inlineStr">
        <is>
          <t>LOA</t>
        </is>
      </c>
      <c r="F645" t="inlineStr">
        <is>
          <t>2025-11-23</t>
        </is>
      </c>
      <c r="G645" s="4" t="n">
        <v>34042.51</v>
      </c>
      <c r="H645" s="4">
        <f>MAX(0,G645-SUMIFS('Paiements contrat'!$B:$B,'Paiements contrat'!$A:$A,A645))</f>
        <v/>
      </c>
      <c r="I645" s="4" t="n">
        <v>28469.4</v>
      </c>
      <c r="J645" t="inlineStr">
        <is>
          <t>actif</t>
        </is>
      </c>
    </row>
    <row r="646">
      <c r="A646" t="inlineStr">
        <is>
          <t>CTR-00658</t>
        </is>
      </c>
      <c r="B646" t="inlineStr">
        <is>
          <t>CLI-01370</t>
        </is>
      </c>
      <c r="C646" t="inlineStr">
        <is>
          <t>Île-de-France</t>
        </is>
      </c>
      <c r="D646" t="inlineStr">
        <is>
          <t>materiel</t>
        </is>
      </c>
      <c r="E646" t="inlineStr">
        <is>
          <t>crédit-bail</t>
        </is>
      </c>
      <c r="F646" t="inlineStr">
        <is>
          <t>2025-03-18</t>
        </is>
      </c>
      <c r="G646" s="4" t="n">
        <v>33628.61</v>
      </c>
      <c r="H646" s="4">
        <f>MAX(0,G646-SUMIFS('Paiements contrat'!$B:$B,'Paiements contrat'!$A:$A,A646))</f>
        <v/>
      </c>
      <c r="I646" s="4" t="n">
        <v>25939.75</v>
      </c>
      <c r="J646" t="inlineStr">
        <is>
          <t>actif</t>
        </is>
      </c>
    </row>
    <row r="647">
      <c r="A647" t="inlineStr">
        <is>
          <t>CTR-00659</t>
        </is>
      </c>
      <c r="B647" t="inlineStr">
        <is>
          <t>CLI-01181</t>
        </is>
      </c>
      <c r="C647" t="inlineStr">
        <is>
          <t>Île-de-France</t>
        </is>
      </c>
      <c r="D647" t="inlineStr">
        <is>
          <t>materiel</t>
        </is>
      </c>
      <c r="E647" t="inlineStr">
        <is>
          <t>crédit-bail</t>
        </is>
      </c>
      <c r="F647" t="inlineStr">
        <is>
          <t>2025-01-03</t>
        </is>
      </c>
      <c r="G647" s="4" t="n">
        <v>49903.97</v>
      </c>
      <c r="H647" s="4">
        <f>MAX(0,G647-SUMIFS('Paiements contrat'!$B:$B,'Paiements contrat'!$A:$A,A647))</f>
        <v/>
      </c>
      <c r="I647" s="4" t="n">
        <v>39195.81</v>
      </c>
      <c r="J647" t="inlineStr">
        <is>
          <t>actif</t>
        </is>
      </c>
    </row>
    <row r="648">
      <c r="A648" t="inlineStr">
        <is>
          <t>CTR-00660</t>
        </is>
      </c>
      <c r="B648" t="inlineStr">
        <is>
          <t>CLI-01027</t>
        </is>
      </c>
      <c r="C648" t="inlineStr">
        <is>
          <t>Île-de-France</t>
        </is>
      </c>
      <c r="D648" t="inlineStr">
        <is>
          <t>auto</t>
        </is>
      </c>
      <c r="E648" t="inlineStr">
        <is>
          <t>LOA</t>
        </is>
      </c>
      <c r="F648" t="inlineStr">
        <is>
          <t>2026-01-06</t>
        </is>
      </c>
      <c r="G648" s="4" t="n">
        <v>68230.39999999999</v>
      </c>
      <c r="H648" s="4">
        <f>MAX(0,G648-SUMIFS('Paiements contrat'!$B:$B,'Paiements contrat'!$A:$A,A648))</f>
        <v/>
      </c>
      <c r="I648" s="4" t="n">
        <v>65575.89999999999</v>
      </c>
      <c r="J648" t="inlineStr">
        <is>
          <t>actif</t>
        </is>
      </c>
    </row>
    <row r="649">
      <c r="A649" t="inlineStr">
        <is>
          <t>CTR-00661</t>
        </is>
      </c>
      <c r="B649" t="inlineStr">
        <is>
          <t>CLI-01303</t>
        </is>
      </c>
      <c r="C649" t="inlineStr">
        <is>
          <t>Réunion</t>
        </is>
      </c>
      <c r="D649" t="inlineStr">
        <is>
          <t>auto</t>
        </is>
      </c>
      <c r="E649" t="inlineStr">
        <is>
          <t>LLD</t>
        </is>
      </c>
      <c r="F649" t="inlineStr">
        <is>
          <t>2024-11-17</t>
        </is>
      </c>
      <c r="G649" s="4" t="n">
        <v>14017.64</v>
      </c>
      <c r="H649" s="4">
        <f>MAX(0,G649-SUMIFS('Paiements contrat'!$B:$B,'Paiements contrat'!$A:$A,A649))</f>
        <v/>
      </c>
      <c r="I649" s="4" t="n">
        <v>8904.08</v>
      </c>
      <c r="J649" t="inlineStr">
        <is>
          <t>actif</t>
        </is>
      </c>
    </row>
    <row r="650">
      <c r="A650" t="inlineStr">
        <is>
          <t>CTR-00662</t>
        </is>
      </c>
      <c r="B650" t="inlineStr">
        <is>
          <t>CLI-00302</t>
        </is>
      </c>
      <c r="C650" t="inlineStr">
        <is>
          <t>Île-de-France</t>
        </is>
      </c>
      <c r="D650" t="inlineStr">
        <is>
          <t>auto</t>
        </is>
      </c>
      <c r="E650" t="inlineStr">
        <is>
          <t>LOA</t>
        </is>
      </c>
      <c r="F650" t="inlineStr">
        <is>
          <t>2025-10-14</t>
        </is>
      </c>
      <c r="G650" s="4" t="n">
        <v>65626.62</v>
      </c>
      <c r="H650" s="4">
        <f>MAX(0,G650-SUMIFS('Paiements contrat'!$B:$B,'Paiements contrat'!$A:$A,A650))</f>
        <v/>
      </c>
      <c r="I650" s="4" t="n">
        <v>56811.73112721535</v>
      </c>
      <c r="J650" t="inlineStr">
        <is>
          <t>actif</t>
        </is>
      </c>
    </row>
    <row r="651">
      <c r="A651" t="inlineStr">
        <is>
          <t>CTR-00663</t>
        </is>
      </c>
      <c r="B651" t="inlineStr">
        <is>
          <t>CLI-01008</t>
        </is>
      </c>
      <c r="C651" t="inlineStr">
        <is>
          <t>Île-de-France</t>
        </is>
      </c>
      <c r="D651" t="inlineStr">
        <is>
          <t>auto</t>
        </is>
      </c>
      <c r="E651" t="inlineStr">
        <is>
          <t>LLD</t>
        </is>
      </c>
      <c r="F651" t="inlineStr">
        <is>
          <t>2025-06-06</t>
        </is>
      </c>
      <c r="G651" s="4" t="n">
        <v>47981.85</v>
      </c>
      <c r="H651" s="4">
        <f>MAX(0,G651-SUMIFS('Paiements contrat'!$B:$B,'Paiements contrat'!$A:$A,A651))</f>
        <v/>
      </c>
      <c r="I651" s="4" t="n">
        <v>20063.83</v>
      </c>
      <c r="J651" t="inlineStr">
        <is>
          <t>actif</t>
        </is>
      </c>
    </row>
    <row r="652">
      <c r="A652" t="inlineStr">
        <is>
          <t>CTR-00664</t>
        </is>
      </c>
      <c r="B652" t="inlineStr">
        <is>
          <t>CLI-00240</t>
        </is>
      </c>
      <c r="C652" t="inlineStr">
        <is>
          <t>Île-de-France</t>
        </is>
      </c>
      <c r="D652" t="inlineStr">
        <is>
          <t>auto</t>
        </is>
      </c>
      <c r="E652" t="inlineStr">
        <is>
          <t>LOA</t>
        </is>
      </c>
      <c r="F652" t="inlineStr">
        <is>
          <t>2025-05-25</t>
        </is>
      </c>
      <c r="G652" s="4" t="n">
        <v>56045.8</v>
      </c>
      <c r="H652" s="4">
        <f>MAX(0,G652-SUMIFS('Paiements contrat'!$B:$B,'Paiements contrat'!$A:$A,A652))</f>
        <v/>
      </c>
      <c r="I652" s="4" t="n">
        <v>14166.87</v>
      </c>
      <c r="J652" t="inlineStr">
        <is>
          <t>actif</t>
        </is>
      </c>
    </row>
    <row r="653">
      <c r="A653" t="inlineStr">
        <is>
          <t>CTR-00665</t>
        </is>
      </c>
      <c r="B653" t="inlineStr">
        <is>
          <t>CLI-00962</t>
        </is>
      </c>
      <c r="C653" t="inlineStr">
        <is>
          <t>Île-de-France</t>
        </is>
      </c>
      <c r="D653" t="inlineStr">
        <is>
          <t>materiel</t>
        </is>
      </c>
      <c r="E653" t="inlineStr">
        <is>
          <t>crédit-bail</t>
        </is>
      </c>
      <c r="F653" t="inlineStr">
        <is>
          <t>2025-04-27</t>
        </is>
      </c>
      <c r="G653" s="4" t="n">
        <v>151156.79</v>
      </c>
      <c r="H653" s="4">
        <f>MAX(0,G653-SUMIFS('Paiements contrat'!$B:$B,'Paiements contrat'!$A:$A,A653))</f>
        <v/>
      </c>
      <c r="I653" s="4" t="n">
        <v>119356.06</v>
      </c>
      <c r="J653" t="inlineStr">
        <is>
          <t>actif</t>
        </is>
      </c>
    </row>
    <row r="654">
      <c r="A654" t="inlineStr">
        <is>
          <t>CTR-00666</t>
        </is>
      </c>
      <c r="B654" t="inlineStr">
        <is>
          <t>CLI-01054</t>
        </is>
      </c>
      <c r="C654" t="inlineStr">
        <is>
          <t>Guyane</t>
        </is>
      </c>
      <c r="D654" t="inlineStr">
        <is>
          <t>materiel</t>
        </is>
      </c>
      <c r="E654" t="inlineStr">
        <is>
          <t>crédit-bail</t>
        </is>
      </c>
      <c r="F654" t="inlineStr">
        <is>
          <t>2024-08-02</t>
        </is>
      </c>
      <c r="G654" s="4" t="n">
        <v>158785.96</v>
      </c>
      <c r="H654" s="4">
        <f>MAX(0,G654-SUMIFS('Paiements contrat'!$B:$B,'Paiements contrat'!$A:$A,A654))</f>
        <v/>
      </c>
      <c r="I654" s="4" t="n">
        <v>84293.46999999999</v>
      </c>
      <c r="J654" t="inlineStr">
        <is>
          <t>actif</t>
        </is>
      </c>
    </row>
    <row r="655">
      <c r="A655" t="inlineStr">
        <is>
          <t>CTR-00667</t>
        </is>
      </c>
      <c r="B655" t="inlineStr">
        <is>
          <t>CLI-00998</t>
        </is>
      </c>
      <c r="C655" t="inlineStr">
        <is>
          <t>Martinique</t>
        </is>
      </c>
      <c r="D655" t="inlineStr">
        <is>
          <t>auto</t>
        </is>
      </c>
      <c r="E655" t="inlineStr">
        <is>
          <t>LOA</t>
        </is>
      </c>
      <c r="F655" t="inlineStr">
        <is>
          <t>2025-02-10</t>
        </is>
      </c>
      <c r="G655" s="4" t="n">
        <v>53969.67</v>
      </c>
      <c r="H655" s="4">
        <f>MAX(0,G655-SUMIFS('Paiements contrat'!$B:$B,'Paiements contrat'!$A:$A,A655))</f>
        <v/>
      </c>
      <c r="I655" s="4" t="n">
        <v>41397.08</v>
      </c>
      <c r="J655" t="inlineStr">
        <is>
          <t>actif</t>
        </is>
      </c>
    </row>
    <row r="656">
      <c r="A656" t="inlineStr">
        <is>
          <t>CTR-00668</t>
        </is>
      </c>
      <c r="B656" t="inlineStr">
        <is>
          <t>CLI-00677</t>
        </is>
      </c>
      <c r="C656" t="inlineStr">
        <is>
          <t>Martinique</t>
        </is>
      </c>
      <c r="D656" t="inlineStr">
        <is>
          <t>auto</t>
        </is>
      </c>
      <c r="E656" t="inlineStr">
        <is>
          <t>LOA</t>
        </is>
      </c>
      <c r="F656" t="inlineStr">
        <is>
          <t>2025-09-15</t>
        </is>
      </c>
      <c r="G656" s="4" t="n">
        <v>35852.33</v>
      </c>
      <c r="H656" s="4">
        <f>MAX(0,G656-SUMIFS('Paiements contrat'!$B:$B,'Paiements contrat'!$A:$A,A656))</f>
        <v/>
      </c>
      <c r="I656" s="4" t="n">
        <v>27214.57</v>
      </c>
      <c r="J656" t="inlineStr">
        <is>
          <t>actif</t>
        </is>
      </c>
    </row>
    <row r="657">
      <c r="A657" t="inlineStr">
        <is>
          <t>CTR-00669</t>
        </is>
      </c>
      <c r="B657" t="inlineStr">
        <is>
          <t>CLI-00522</t>
        </is>
      </c>
      <c r="C657" t="inlineStr">
        <is>
          <t>Île-de-France</t>
        </is>
      </c>
      <c r="D657" t="inlineStr">
        <is>
          <t>auto</t>
        </is>
      </c>
      <c r="E657" t="inlineStr">
        <is>
          <t>LOA</t>
        </is>
      </c>
      <c r="F657" t="inlineStr">
        <is>
          <t>2024-05-26</t>
        </is>
      </c>
      <c r="G657" s="4" t="n">
        <v>47190.7</v>
      </c>
      <c r="H657" s="4">
        <f>MAX(0,G657-SUMIFS('Paiements contrat'!$B:$B,'Paiements contrat'!$A:$A,A657))</f>
        <v/>
      </c>
      <c r="I657" s="4" t="n">
        <v>22797.82</v>
      </c>
      <c r="J657" t="inlineStr">
        <is>
          <t>actif</t>
        </is>
      </c>
    </row>
    <row r="658">
      <c r="A658" t="inlineStr">
        <is>
          <t>CTR-00670</t>
        </is>
      </c>
      <c r="B658" t="inlineStr">
        <is>
          <t>CLI-00455</t>
        </is>
      </c>
      <c r="C658" t="inlineStr">
        <is>
          <t>Martinique</t>
        </is>
      </c>
      <c r="D658" t="inlineStr">
        <is>
          <t>auto</t>
        </is>
      </c>
      <c r="E658" t="inlineStr">
        <is>
          <t>LOA</t>
        </is>
      </c>
      <c r="F658" t="inlineStr">
        <is>
          <t>2024-05-09</t>
        </is>
      </c>
      <c r="G658" s="4" t="n">
        <v>34280.51</v>
      </c>
      <c r="H658" s="4">
        <f>MAX(0,G658-SUMIFS('Paiements contrat'!$B:$B,'Paiements contrat'!$A:$A,A658))</f>
        <v/>
      </c>
      <c r="I658" s="4" t="n">
        <v>23374.33</v>
      </c>
      <c r="J658" t="inlineStr">
        <is>
          <t>actif</t>
        </is>
      </c>
    </row>
    <row r="659">
      <c r="A659" t="inlineStr">
        <is>
          <t>CTR-00671</t>
        </is>
      </c>
      <c r="B659" t="inlineStr">
        <is>
          <t>CLI-00333</t>
        </is>
      </c>
      <c r="C659" t="inlineStr">
        <is>
          <t>Guyane</t>
        </is>
      </c>
      <c r="D659" t="inlineStr">
        <is>
          <t>auto</t>
        </is>
      </c>
      <c r="E659" t="inlineStr">
        <is>
          <t>LOA</t>
        </is>
      </c>
      <c r="F659" t="inlineStr">
        <is>
          <t>2025-04-07</t>
        </is>
      </c>
      <c r="G659" s="4" t="n">
        <v>33851.26</v>
      </c>
      <c r="H659" s="4">
        <f>MAX(0,G659-SUMIFS('Paiements contrat'!$B:$B,'Paiements contrat'!$A:$A,A659))</f>
        <v/>
      </c>
      <c r="I659" s="4" t="n">
        <v>26862.33</v>
      </c>
      <c r="J659" t="inlineStr">
        <is>
          <t>actif</t>
        </is>
      </c>
    </row>
    <row r="660">
      <c r="A660" t="inlineStr">
        <is>
          <t>CTR-00672</t>
        </is>
      </c>
      <c r="B660" t="inlineStr">
        <is>
          <t>CLI-00167</t>
        </is>
      </c>
      <c r="C660" t="inlineStr">
        <is>
          <t>Île-de-France</t>
        </is>
      </c>
      <c r="D660" t="inlineStr">
        <is>
          <t>auto</t>
        </is>
      </c>
      <c r="E660" t="inlineStr">
        <is>
          <t>LOA</t>
        </is>
      </c>
      <c r="F660" t="inlineStr">
        <is>
          <t>2024-07-04</t>
        </is>
      </c>
      <c r="G660" s="4" t="n">
        <v>53726.71</v>
      </c>
      <c r="H660" s="4">
        <f>MAX(0,G660-SUMIFS('Paiements contrat'!$B:$B,'Paiements contrat'!$A:$A,A660))</f>
        <v/>
      </c>
      <c r="I660" s="4" t="n">
        <v>38321.88654008284</v>
      </c>
      <c r="J660" t="inlineStr">
        <is>
          <t>actif</t>
        </is>
      </c>
    </row>
    <row r="661">
      <c r="A661" t="inlineStr">
        <is>
          <t>CTR-00673</t>
        </is>
      </c>
      <c r="B661" t="inlineStr">
        <is>
          <t>CLI-01494</t>
        </is>
      </c>
      <c r="C661" t="inlineStr">
        <is>
          <t>Île-de-France</t>
        </is>
      </c>
      <c r="D661" t="inlineStr">
        <is>
          <t>materiel</t>
        </is>
      </c>
      <c r="E661" t="inlineStr">
        <is>
          <t>crédit-bail</t>
        </is>
      </c>
      <c r="F661" t="inlineStr">
        <is>
          <t>2025-02-10</t>
        </is>
      </c>
      <c r="G661" s="4" t="n">
        <v>65727.22</v>
      </c>
      <c r="H661" s="4">
        <f>MAX(0,G661-SUMIFS('Paiements contrat'!$B:$B,'Paiements contrat'!$A:$A,A661))</f>
        <v/>
      </c>
      <c r="I661" s="4" t="n">
        <v>31348.23</v>
      </c>
      <c r="J661" t="inlineStr">
        <is>
          <t>actif</t>
        </is>
      </c>
    </row>
    <row r="662">
      <c r="A662" t="inlineStr">
        <is>
          <t>CTR-00674</t>
        </is>
      </c>
      <c r="B662" t="inlineStr">
        <is>
          <t>CLI-00844</t>
        </is>
      </c>
      <c r="C662" t="inlineStr">
        <is>
          <t>Martinique</t>
        </is>
      </c>
      <c r="D662" t="inlineStr">
        <is>
          <t>auto</t>
        </is>
      </c>
      <c r="E662" t="inlineStr">
        <is>
          <t>LOA</t>
        </is>
      </c>
      <c r="F662" t="inlineStr">
        <is>
          <t>2024-10-08</t>
        </is>
      </c>
      <c r="G662" s="4" t="n">
        <v>11821.68</v>
      </c>
      <c r="H662" s="4">
        <f>MAX(0,G662-SUMIFS('Paiements contrat'!$B:$B,'Paiements contrat'!$A:$A,A662))</f>
        <v/>
      </c>
      <c r="I662" s="4" t="n">
        <v>6448.13</v>
      </c>
      <c r="J662" t="inlineStr">
        <is>
          <t>contentieux</t>
        </is>
      </c>
    </row>
    <row r="663">
      <c r="A663" t="inlineStr">
        <is>
          <t>CTR-00675</t>
        </is>
      </c>
      <c r="B663" t="inlineStr">
        <is>
          <t>CLI-00572</t>
        </is>
      </c>
      <c r="C663" t="inlineStr">
        <is>
          <t>Île-de-France</t>
        </is>
      </c>
      <c r="D663" t="inlineStr">
        <is>
          <t>auto</t>
        </is>
      </c>
      <c r="E663" t="inlineStr">
        <is>
          <t>LOA</t>
        </is>
      </c>
      <c r="F663" t="inlineStr">
        <is>
          <t>2025-03-13</t>
        </is>
      </c>
      <c r="G663" s="4" t="n">
        <v>18476.1</v>
      </c>
      <c r="H663" s="4">
        <f>MAX(0,G663-SUMIFS('Paiements contrat'!$B:$B,'Paiements contrat'!$A:$A,A663))</f>
        <v/>
      </c>
      <c r="I663" s="4" t="n">
        <v>12459.07</v>
      </c>
      <c r="J663" t="inlineStr">
        <is>
          <t>contentieux</t>
        </is>
      </c>
    </row>
    <row r="664">
      <c r="A664" t="inlineStr">
        <is>
          <t>CTR-00676</t>
        </is>
      </c>
      <c r="B664" t="inlineStr">
        <is>
          <t>CLI-00916</t>
        </is>
      </c>
      <c r="C664" t="inlineStr">
        <is>
          <t>Île-de-France</t>
        </is>
      </c>
      <c r="D664" t="inlineStr">
        <is>
          <t>materiel</t>
        </is>
      </c>
      <c r="E664" t="inlineStr">
        <is>
          <t>crédit-bail</t>
        </is>
      </c>
      <c r="F664" t="inlineStr">
        <is>
          <t>2024-09-01</t>
        </is>
      </c>
      <c r="G664" s="4" t="n">
        <v>171057.54</v>
      </c>
      <c r="H664" s="4">
        <f>MAX(0,G664-SUMIFS('Paiements contrat'!$B:$B,'Paiements contrat'!$A:$A,A664))</f>
        <v/>
      </c>
      <c r="I664" s="4" t="n">
        <v>86640.99000000001</v>
      </c>
      <c r="J664" t="inlineStr">
        <is>
          <t>actif</t>
        </is>
      </c>
    </row>
    <row r="665">
      <c r="A665" t="inlineStr">
        <is>
          <t>CTR-00677</t>
        </is>
      </c>
      <c r="B665" t="inlineStr">
        <is>
          <t>CLI-00215</t>
        </is>
      </c>
      <c r="C665" t="inlineStr">
        <is>
          <t>Île-de-France</t>
        </is>
      </c>
      <c r="D665" t="inlineStr">
        <is>
          <t>auto</t>
        </is>
      </c>
      <c r="E665" t="inlineStr">
        <is>
          <t>LOA</t>
        </is>
      </c>
      <c r="F665" t="inlineStr">
        <is>
          <t>2024-12-03</t>
        </is>
      </c>
      <c r="G665" s="4" t="n">
        <v>23365.85</v>
      </c>
      <c r="H665" s="4">
        <f>MAX(0,G665-SUMIFS('Paiements contrat'!$B:$B,'Paiements contrat'!$A:$A,A665))</f>
        <v/>
      </c>
      <c r="I665" s="4" t="n">
        <v>14646.71</v>
      </c>
      <c r="J665" t="inlineStr">
        <is>
          <t>actif</t>
        </is>
      </c>
    </row>
    <row r="666">
      <c r="A666" t="inlineStr">
        <is>
          <t>CTR-00678</t>
        </is>
      </c>
      <c r="B666" t="inlineStr">
        <is>
          <t>CLI-01247</t>
        </is>
      </c>
      <c r="C666" t="inlineStr">
        <is>
          <t>Île-de-France</t>
        </is>
      </c>
      <c r="D666" t="inlineStr">
        <is>
          <t>auto</t>
        </is>
      </c>
      <c r="E666" t="inlineStr">
        <is>
          <t>LOA</t>
        </is>
      </c>
      <c r="F666" t="inlineStr">
        <is>
          <t>2024-10-20</t>
        </is>
      </c>
      <c r="G666" s="4" t="n">
        <v>60606.69</v>
      </c>
      <c r="H666" s="4">
        <f>MAX(0,G666-SUMIFS('Paiements contrat'!$B:$B,'Paiements contrat'!$A:$A,A666))</f>
        <v/>
      </c>
      <c r="I666" s="4" t="n">
        <v>28757.5</v>
      </c>
      <c r="J666" t="inlineStr">
        <is>
          <t>actif</t>
        </is>
      </c>
    </row>
    <row r="667">
      <c r="A667" t="inlineStr">
        <is>
          <t>CTR-00679</t>
        </is>
      </c>
      <c r="B667" t="inlineStr">
        <is>
          <t>CLI-01051</t>
        </is>
      </c>
      <c r="C667" t="inlineStr">
        <is>
          <t>Île-de-France</t>
        </is>
      </c>
      <c r="D667" t="inlineStr">
        <is>
          <t>bateau</t>
        </is>
      </c>
      <c r="E667" t="inlineStr">
        <is>
          <t>LOA</t>
        </is>
      </c>
      <c r="F667" t="inlineStr">
        <is>
          <t>2024-08-11</t>
        </is>
      </c>
      <c r="G667" s="4" t="n">
        <v>109246.45</v>
      </c>
      <c r="H667" s="4">
        <f>MAX(0,G667-SUMIFS('Paiements contrat'!$B:$B,'Paiements contrat'!$A:$A,A667))</f>
        <v/>
      </c>
      <c r="I667" s="4" t="n">
        <v>62003.80407734454</v>
      </c>
      <c r="J667" t="inlineStr">
        <is>
          <t>actif</t>
        </is>
      </c>
    </row>
    <row r="668">
      <c r="A668" t="inlineStr">
        <is>
          <t>CTR-00680</t>
        </is>
      </c>
      <c r="B668" t="inlineStr">
        <is>
          <t>CLI-00802</t>
        </is>
      </c>
      <c r="C668" t="inlineStr">
        <is>
          <t>Île-de-France</t>
        </is>
      </c>
      <c r="D668" t="inlineStr">
        <is>
          <t>materiel</t>
        </is>
      </c>
      <c r="E668" t="inlineStr">
        <is>
          <t>crédit-bail</t>
        </is>
      </c>
      <c r="F668" t="inlineStr">
        <is>
          <t>2025-09-13</t>
        </is>
      </c>
      <c r="G668" s="4" t="n">
        <v>26114.18</v>
      </c>
      <c r="H668" s="4">
        <f>MAX(0,G668-SUMIFS('Paiements contrat'!$B:$B,'Paiements contrat'!$A:$A,A668))</f>
        <v/>
      </c>
      <c r="I668" s="4" t="n">
        <v>23032.74</v>
      </c>
      <c r="J668" t="inlineStr">
        <is>
          <t>actif</t>
        </is>
      </c>
    </row>
    <row r="669">
      <c r="A669" t="inlineStr">
        <is>
          <t>CTR-00681</t>
        </is>
      </c>
      <c r="B669" t="inlineStr">
        <is>
          <t>CLI-00985</t>
        </is>
      </c>
      <c r="C669" t="inlineStr">
        <is>
          <t>Île-de-France</t>
        </is>
      </c>
      <c r="D669" t="inlineStr">
        <is>
          <t>bateau</t>
        </is>
      </c>
      <c r="E669" t="inlineStr">
        <is>
          <t>LOA</t>
        </is>
      </c>
      <c r="F669" t="inlineStr">
        <is>
          <t>2026-02-26</t>
        </is>
      </c>
      <c r="G669" s="4" t="n">
        <v>108593.71</v>
      </c>
      <c r="H669" s="4">
        <f>MAX(0,G669-SUMIFS('Paiements contrat'!$B:$B,'Paiements contrat'!$A:$A,A669))</f>
        <v/>
      </c>
      <c r="I669" s="4" t="n">
        <v>107026.55</v>
      </c>
      <c r="J669" t="inlineStr">
        <is>
          <t>actif</t>
        </is>
      </c>
    </row>
    <row r="670">
      <c r="A670" t="inlineStr">
        <is>
          <t>CTR-00682</t>
        </is>
      </c>
      <c r="B670" t="inlineStr">
        <is>
          <t>CLI-01430</t>
        </is>
      </c>
      <c r="C670" t="inlineStr">
        <is>
          <t>Guadeloupe</t>
        </is>
      </c>
      <c r="D670" t="inlineStr">
        <is>
          <t>auto</t>
        </is>
      </c>
      <c r="E670" t="inlineStr">
        <is>
          <t>LOA</t>
        </is>
      </c>
      <c r="F670" t="inlineStr">
        <is>
          <t>2025-11-02</t>
        </is>
      </c>
      <c r="G670" s="4" t="n">
        <v>31141.63</v>
      </c>
      <c r="H670" s="4">
        <f>MAX(0,G670-SUMIFS('Paiements contrat'!$B:$B,'Paiements contrat'!$A:$A,A670))</f>
        <v/>
      </c>
      <c r="I670" s="4" t="n">
        <v>26136.7</v>
      </c>
      <c r="J670" t="inlineStr">
        <is>
          <t>actif</t>
        </is>
      </c>
    </row>
    <row r="671">
      <c r="A671" t="inlineStr">
        <is>
          <t>CTR-00683</t>
        </is>
      </c>
      <c r="B671" t="inlineStr">
        <is>
          <t>CLI-00820</t>
        </is>
      </c>
      <c r="C671" t="inlineStr">
        <is>
          <t>Guadeloupe</t>
        </is>
      </c>
      <c r="D671" t="inlineStr">
        <is>
          <t>auto</t>
        </is>
      </c>
      <c r="E671" t="inlineStr">
        <is>
          <t>LLD</t>
        </is>
      </c>
      <c r="F671" t="inlineStr">
        <is>
          <t>2025-01-21</t>
        </is>
      </c>
      <c r="G671" s="4" t="n">
        <v>57215.19</v>
      </c>
      <c r="H671" s="4">
        <f>MAX(0,G671-SUMIFS('Paiements contrat'!$B:$B,'Paiements contrat'!$A:$A,A671))</f>
        <v/>
      </c>
      <c r="I671" s="4" t="n">
        <v>47397.06</v>
      </c>
      <c r="J671" t="inlineStr">
        <is>
          <t>actif</t>
        </is>
      </c>
    </row>
    <row r="672">
      <c r="A672" t="inlineStr">
        <is>
          <t>CTR-00684</t>
        </is>
      </c>
      <c r="B672" t="inlineStr">
        <is>
          <t>CLI-00332</t>
        </is>
      </c>
      <c r="C672" t="inlineStr">
        <is>
          <t>Guyane</t>
        </is>
      </c>
      <c r="D672" t="inlineStr">
        <is>
          <t>auto</t>
        </is>
      </c>
      <c r="E672" t="inlineStr">
        <is>
          <t>LOA</t>
        </is>
      </c>
      <c r="F672" t="inlineStr">
        <is>
          <t>2025-12-08</t>
        </is>
      </c>
      <c r="G672" s="4" t="n">
        <v>44515.01</v>
      </c>
      <c r="H672" s="4">
        <f>MAX(0,G672-SUMIFS('Paiements contrat'!$B:$B,'Paiements contrat'!$A:$A,A672))</f>
        <v/>
      </c>
      <c r="I672" s="4" t="n">
        <v>43240.9</v>
      </c>
      <c r="J672" t="inlineStr">
        <is>
          <t>actif</t>
        </is>
      </c>
    </row>
    <row r="673">
      <c r="A673" t="inlineStr">
        <is>
          <t>CTR-00685</t>
        </is>
      </c>
      <c r="B673" t="inlineStr">
        <is>
          <t>CLI-00690</t>
        </is>
      </c>
      <c r="C673" t="inlineStr">
        <is>
          <t>Guadeloupe</t>
        </is>
      </c>
      <c r="D673" t="inlineStr">
        <is>
          <t>materiel</t>
        </is>
      </c>
      <c r="E673" t="inlineStr">
        <is>
          <t>crédit-bail</t>
        </is>
      </c>
      <c r="F673" t="inlineStr">
        <is>
          <t>2024-12-23</t>
        </is>
      </c>
      <c r="G673" s="4" t="n">
        <v>183904.79</v>
      </c>
      <c r="H673" s="4">
        <f>MAX(0,G673-SUMIFS('Paiements contrat'!$B:$B,'Paiements contrat'!$A:$A,A673))</f>
        <v/>
      </c>
      <c r="I673" s="4" t="n">
        <v>93266.66</v>
      </c>
      <c r="J673" t="inlineStr">
        <is>
          <t>actif</t>
        </is>
      </c>
    </row>
    <row r="674">
      <c r="A674" t="inlineStr">
        <is>
          <t>CTR-00686</t>
        </is>
      </c>
      <c r="B674" t="inlineStr">
        <is>
          <t>CLI-01435</t>
        </is>
      </c>
      <c r="C674" t="inlineStr">
        <is>
          <t>Île-de-France</t>
        </is>
      </c>
      <c r="D674" t="inlineStr">
        <is>
          <t>auto</t>
        </is>
      </c>
      <c r="E674" t="inlineStr">
        <is>
          <t>LOA</t>
        </is>
      </c>
      <c r="F674" t="inlineStr">
        <is>
          <t>2025-09-26</t>
        </is>
      </c>
      <c r="G674" s="4" t="n">
        <v>44116.25</v>
      </c>
      <c r="H674" s="4">
        <f>MAX(0,G674-SUMIFS('Paiements contrat'!$B:$B,'Paiements contrat'!$A:$A,A674))</f>
        <v/>
      </c>
      <c r="I674" s="4" t="n">
        <v>26099.5</v>
      </c>
      <c r="J674" t="inlineStr">
        <is>
          <t>actif</t>
        </is>
      </c>
    </row>
    <row r="675">
      <c r="A675" t="inlineStr">
        <is>
          <t>CTR-00687</t>
        </is>
      </c>
      <c r="B675" t="inlineStr">
        <is>
          <t>CLI-01050</t>
        </is>
      </c>
      <c r="C675" t="inlineStr">
        <is>
          <t>Guyane</t>
        </is>
      </c>
      <c r="D675" t="inlineStr">
        <is>
          <t>auto</t>
        </is>
      </c>
      <c r="E675" t="inlineStr">
        <is>
          <t>LOA</t>
        </is>
      </c>
      <c r="F675" t="inlineStr">
        <is>
          <t>2025-04-07</t>
        </is>
      </c>
      <c r="G675" s="4" t="n">
        <v>64107.62</v>
      </c>
      <c r="H675" s="4">
        <f>MAX(0,G675-SUMIFS('Paiements contrat'!$B:$B,'Paiements contrat'!$A:$A,A675))</f>
        <v/>
      </c>
      <c r="I675" s="4" t="n">
        <v>46926.51</v>
      </c>
      <c r="J675" t="inlineStr">
        <is>
          <t>actif</t>
        </is>
      </c>
    </row>
    <row r="676">
      <c r="A676" t="inlineStr">
        <is>
          <t>CTR-00688</t>
        </is>
      </c>
      <c r="B676" t="inlineStr">
        <is>
          <t>CLI-00620</t>
        </is>
      </c>
      <c r="C676" t="inlineStr">
        <is>
          <t>Île-de-France</t>
        </is>
      </c>
      <c r="D676" t="inlineStr">
        <is>
          <t>auto</t>
        </is>
      </c>
      <c r="E676" t="inlineStr">
        <is>
          <t>LOA</t>
        </is>
      </c>
      <c r="F676" t="inlineStr">
        <is>
          <t>2025-01-10</t>
        </is>
      </c>
      <c r="G676" s="4" t="n">
        <v>49815.67</v>
      </c>
      <c r="H676" s="4">
        <f>MAX(0,G676-SUMIFS('Paiements contrat'!$B:$B,'Paiements contrat'!$A:$A,A676))</f>
        <v/>
      </c>
      <c r="I676" s="4" t="n">
        <v>30616.86418170046</v>
      </c>
      <c r="J676" t="inlineStr">
        <is>
          <t>actif</t>
        </is>
      </c>
    </row>
    <row r="677">
      <c r="A677" t="inlineStr">
        <is>
          <t>CTR-00689</t>
        </is>
      </c>
      <c r="B677" t="inlineStr">
        <is>
          <t>CLI-00290</t>
        </is>
      </c>
      <c r="C677" t="inlineStr">
        <is>
          <t>Guyane</t>
        </is>
      </c>
      <c r="D677" t="inlineStr">
        <is>
          <t>materiel</t>
        </is>
      </c>
      <c r="E677" t="inlineStr">
        <is>
          <t>crédit-bail</t>
        </is>
      </c>
      <c r="F677" t="inlineStr">
        <is>
          <t>2024-07-23</t>
        </is>
      </c>
      <c r="G677" s="4" t="n">
        <v>50215.72</v>
      </c>
      <c r="H677" s="4">
        <f>MAX(0,G677-SUMIFS('Paiements contrat'!$B:$B,'Paiements contrat'!$A:$A,A677))</f>
        <v/>
      </c>
      <c r="I677" s="4" t="n">
        <v>26340.01078731745</v>
      </c>
      <c r="J677" t="inlineStr">
        <is>
          <t>contentieux</t>
        </is>
      </c>
    </row>
    <row r="678">
      <c r="A678" t="inlineStr">
        <is>
          <t>CTR-00690</t>
        </is>
      </c>
      <c r="B678" t="inlineStr">
        <is>
          <t>CLI-01283</t>
        </is>
      </c>
      <c r="C678" t="inlineStr">
        <is>
          <t>Île-de-France</t>
        </is>
      </c>
      <c r="D678" t="inlineStr">
        <is>
          <t>bateau</t>
        </is>
      </c>
      <c r="E678" t="inlineStr">
        <is>
          <t>LOA</t>
        </is>
      </c>
      <c r="F678" t="inlineStr">
        <is>
          <t>2024-11-01</t>
        </is>
      </c>
      <c r="G678" s="4" t="n">
        <v>209152</v>
      </c>
      <c r="H678" s="4">
        <f>MAX(0,G678-SUMIFS('Paiements contrat'!$B:$B,'Paiements contrat'!$A:$A,A678))</f>
        <v/>
      </c>
      <c r="I678" s="4" t="n">
        <v>88313.2</v>
      </c>
      <c r="J678" t="inlineStr">
        <is>
          <t>actif</t>
        </is>
      </c>
    </row>
    <row r="679">
      <c r="A679" t="inlineStr">
        <is>
          <t>CTR-00691</t>
        </is>
      </c>
      <c r="B679" t="inlineStr">
        <is>
          <t>CLI-00493</t>
        </is>
      </c>
      <c r="C679" t="inlineStr">
        <is>
          <t>Réunion</t>
        </is>
      </c>
      <c r="D679" t="inlineStr">
        <is>
          <t>materiel</t>
        </is>
      </c>
      <c r="E679" t="inlineStr">
        <is>
          <t>crédit-bail</t>
        </is>
      </c>
      <c r="F679" t="inlineStr">
        <is>
          <t>2025-10-04</t>
        </is>
      </c>
      <c r="G679" s="4" t="n">
        <v>154088.41</v>
      </c>
      <c r="H679" s="4">
        <f>MAX(0,G679-SUMIFS('Paiements contrat'!$B:$B,'Paiements contrat'!$A:$A,A679))</f>
        <v/>
      </c>
      <c r="I679" s="4" t="n">
        <v>129721</v>
      </c>
      <c r="J679" t="inlineStr">
        <is>
          <t>actif</t>
        </is>
      </c>
    </row>
    <row r="680">
      <c r="A680" t="inlineStr">
        <is>
          <t>CTR-00692</t>
        </is>
      </c>
      <c r="B680" t="inlineStr">
        <is>
          <t>CLI-00809</t>
        </is>
      </c>
      <c r="C680" t="inlineStr">
        <is>
          <t>Île-de-France</t>
        </is>
      </c>
      <c r="D680" t="inlineStr">
        <is>
          <t>auto</t>
        </is>
      </c>
      <c r="E680" t="inlineStr">
        <is>
          <t>LOA</t>
        </is>
      </c>
      <c r="F680" t="inlineStr">
        <is>
          <t>2025-04-06</t>
        </is>
      </c>
      <c r="G680" s="4" t="n">
        <v>70586.06</v>
      </c>
      <c r="H680" s="4">
        <f>MAX(0,G680-SUMIFS('Paiements contrat'!$B:$B,'Paiements contrat'!$A:$A,A680))</f>
        <v/>
      </c>
      <c r="I680" s="4" t="n">
        <v>50009.95</v>
      </c>
      <c r="J680" t="inlineStr">
        <is>
          <t>contentieux</t>
        </is>
      </c>
    </row>
    <row r="681">
      <c r="A681" t="inlineStr">
        <is>
          <t>CTR-00693</t>
        </is>
      </c>
      <c r="B681" t="inlineStr">
        <is>
          <t>CLI-00790</t>
        </is>
      </c>
      <c r="C681" t="inlineStr">
        <is>
          <t>Île-de-France</t>
        </is>
      </c>
      <c r="D681" t="inlineStr">
        <is>
          <t>auto</t>
        </is>
      </c>
      <c r="E681" t="inlineStr">
        <is>
          <t>LLD</t>
        </is>
      </c>
      <c r="F681" t="inlineStr">
        <is>
          <t>2025-12-04</t>
        </is>
      </c>
      <c r="G681" s="4" t="n">
        <v>37007.16</v>
      </c>
      <c r="H681" s="4">
        <f>MAX(0,G681-SUMIFS('Paiements contrat'!$B:$B,'Paiements contrat'!$A:$A,A681))</f>
        <v/>
      </c>
      <c r="I681" s="4" t="n">
        <v>35539.47</v>
      </c>
      <c r="J681" t="inlineStr">
        <is>
          <t>actif</t>
        </is>
      </c>
    </row>
    <row r="682">
      <c r="A682" t="inlineStr">
        <is>
          <t>CTR-00694</t>
        </is>
      </c>
      <c r="B682" t="inlineStr">
        <is>
          <t>CLI-00756</t>
        </is>
      </c>
      <c r="C682" t="inlineStr">
        <is>
          <t>Île-de-France</t>
        </is>
      </c>
      <c r="D682" t="inlineStr">
        <is>
          <t>auto</t>
        </is>
      </c>
      <c r="E682" t="inlineStr">
        <is>
          <t>LLD</t>
        </is>
      </c>
      <c r="F682" t="inlineStr">
        <is>
          <t>2025-07-15</t>
        </is>
      </c>
      <c r="G682" s="4" t="n">
        <v>63434.68</v>
      </c>
      <c r="H682" s="4">
        <f>MAX(0,G682-SUMIFS('Paiements contrat'!$B:$B,'Paiements contrat'!$A:$A,A682))</f>
        <v/>
      </c>
      <c r="I682" s="4" t="n">
        <v>50903.01</v>
      </c>
      <c r="J682" t="inlineStr">
        <is>
          <t>actif</t>
        </is>
      </c>
    </row>
    <row r="683">
      <c r="A683" t="inlineStr">
        <is>
          <t>CTR-00695</t>
        </is>
      </c>
      <c r="B683" t="inlineStr">
        <is>
          <t>CLI-00585</t>
        </is>
      </c>
      <c r="C683" t="inlineStr">
        <is>
          <t>Île-de-France</t>
        </is>
      </c>
      <c r="D683" t="inlineStr">
        <is>
          <t>materiel</t>
        </is>
      </c>
      <c r="E683" t="inlineStr">
        <is>
          <t>crédit-bail</t>
        </is>
      </c>
      <c r="F683" t="inlineStr">
        <is>
          <t>2026-01-12</t>
        </is>
      </c>
      <c r="G683" s="4" t="n">
        <v>12333.55</v>
      </c>
      <c r="H683" s="4">
        <f>MAX(0,G683-SUMIFS('Paiements contrat'!$B:$B,'Paiements contrat'!$A:$A,A683))</f>
        <v/>
      </c>
      <c r="I683" s="4" t="n">
        <v>11582.89</v>
      </c>
      <c r="J683" t="inlineStr">
        <is>
          <t>actif</t>
        </is>
      </c>
    </row>
    <row r="684">
      <c r="A684" t="inlineStr">
        <is>
          <t>CTR-00696</t>
        </is>
      </c>
      <c r="B684" t="inlineStr">
        <is>
          <t>CLI-00710</t>
        </is>
      </c>
      <c r="C684" t="inlineStr">
        <is>
          <t>Île-de-France</t>
        </is>
      </c>
      <c r="D684" t="inlineStr">
        <is>
          <t>auto</t>
        </is>
      </c>
      <c r="E684" t="inlineStr">
        <is>
          <t>LOA</t>
        </is>
      </c>
      <c r="F684" t="inlineStr">
        <is>
          <t>2024-09-11</t>
        </is>
      </c>
      <c r="G684" s="4" t="n">
        <v>37151.94</v>
      </c>
      <c r="H684" s="4">
        <f>MAX(0,G684-SUMIFS('Paiements contrat'!$B:$B,'Paiements contrat'!$A:$A,A684))</f>
        <v/>
      </c>
      <c r="I684" s="4" t="n">
        <v>25831.19</v>
      </c>
      <c r="J684" t="inlineStr">
        <is>
          <t>actif</t>
        </is>
      </c>
    </row>
    <row r="685">
      <c r="A685" t="inlineStr">
        <is>
          <t>CTR-00697</t>
        </is>
      </c>
      <c r="B685" t="inlineStr">
        <is>
          <t>CLI-01063</t>
        </is>
      </c>
      <c r="C685" t="inlineStr">
        <is>
          <t>Guyane</t>
        </is>
      </c>
      <c r="D685" t="inlineStr">
        <is>
          <t>auto</t>
        </is>
      </c>
      <c r="E685" t="inlineStr">
        <is>
          <t>LLD</t>
        </is>
      </c>
      <c r="F685" t="inlineStr">
        <is>
          <t>2025-07-13</t>
        </is>
      </c>
      <c r="G685" s="4" t="n">
        <v>18198.2</v>
      </c>
      <c r="H685" s="4">
        <f>MAX(0,G685-SUMIFS('Paiements contrat'!$B:$B,'Paiements contrat'!$A:$A,A685))</f>
        <v/>
      </c>
      <c r="I685" s="4" t="n">
        <v>16114.58</v>
      </c>
      <c r="J685" t="inlineStr">
        <is>
          <t>actif</t>
        </is>
      </c>
    </row>
    <row r="686">
      <c r="A686" t="inlineStr">
        <is>
          <t>CTR-00698</t>
        </is>
      </c>
      <c r="B686" t="inlineStr">
        <is>
          <t>CLI-01370</t>
        </is>
      </c>
      <c r="C686" t="inlineStr">
        <is>
          <t>Île-de-France</t>
        </is>
      </c>
      <c r="D686" t="inlineStr">
        <is>
          <t>auto</t>
        </is>
      </c>
      <c r="E686" t="inlineStr">
        <is>
          <t>LOA</t>
        </is>
      </c>
      <c r="F686" t="inlineStr">
        <is>
          <t>2025-05-05</t>
        </is>
      </c>
      <c r="G686" s="4" t="n">
        <v>45418.41</v>
      </c>
      <c r="H686" s="4">
        <f>MAX(0,G686-SUMIFS('Paiements contrat'!$B:$B,'Paiements contrat'!$A:$A,A686))</f>
        <v/>
      </c>
      <c r="I686" s="4" t="n">
        <v>39284.83</v>
      </c>
      <c r="J686" t="inlineStr">
        <is>
          <t>contentieux</t>
        </is>
      </c>
    </row>
    <row r="687">
      <c r="A687" t="inlineStr">
        <is>
          <t>CTR-00699</t>
        </is>
      </c>
      <c r="B687" t="inlineStr">
        <is>
          <t>CLI-01322</t>
        </is>
      </c>
      <c r="C687" t="inlineStr">
        <is>
          <t>Île-de-France</t>
        </is>
      </c>
      <c r="D687" t="inlineStr">
        <is>
          <t>auto</t>
        </is>
      </c>
      <c r="E687" t="inlineStr">
        <is>
          <t>LLD</t>
        </is>
      </c>
      <c r="F687" t="inlineStr">
        <is>
          <t>2024-12-19</t>
        </is>
      </c>
      <c r="G687" s="4" t="n">
        <v>51664.63</v>
      </c>
      <c r="H687" s="4">
        <f>MAX(0,G687-SUMIFS('Paiements contrat'!$B:$B,'Paiements contrat'!$A:$A,A687))</f>
        <v/>
      </c>
      <c r="I687" s="4" t="n">
        <v>24411.3</v>
      </c>
      <c r="J687" t="inlineStr">
        <is>
          <t>actif</t>
        </is>
      </c>
    </row>
    <row r="688">
      <c r="A688" t="inlineStr">
        <is>
          <t>CTR-00700</t>
        </is>
      </c>
      <c r="B688" t="inlineStr">
        <is>
          <t>CLI-00674</t>
        </is>
      </c>
      <c r="C688" t="inlineStr">
        <is>
          <t>Réunion</t>
        </is>
      </c>
      <c r="D688" t="inlineStr">
        <is>
          <t>materiel</t>
        </is>
      </c>
      <c r="E688" t="inlineStr">
        <is>
          <t>crédit-bail</t>
        </is>
      </c>
      <c r="F688" t="inlineStr">
        <is>
          <t>2026-03-05</t>
        </is>
      </c>
      <c r="G688" s="4" t="n">
        <v>67268.08</v>
      </c>
      <c r="H688" s="4">
        <f>MAX(0,G688-SUMIFS('Paiements contrat'!$B:$B,'Paiements contrat'!$A:$A,A688))</f>
        <v/>
      </c>
      <c r="I688" s="4" t="n">
        <v>67268.08</v>
      </c>
      <c r="J688" t="inlineStr">
        <is>
          <t>actif</t>
        </is>
      </c>
    </row>
    <row r="689">
      <c r="A689" t="inlineStr">
        <is>
          <t>CTR-00701</t>
        </is>
      </c>
      <c r="B689" t="inlineStr">
        <is>
          <t>CLI-00036</t>
        </is>
      </c>
      <c r="C689" t="inlineStr">
        <is>
          <t>Île-de-France</t>
        </is>
      </c>
      <c r="D689" t="inlineStr">
        <is>
          <t>auto</t>
        </is>
      </c>
      <c r="E689" t="inlineStr">
        <is>
          <t>LOA</t>
        </is>
      </c>
      <c r="F689" t="inlineStr">
        <is>
          <t>2024-12-06</t>
        </is>
      </c>
      <c r="G689" s="4" t="n">
        <v>45994.87</v>
      </c>
      <c r="H689" s="4">
        <f>MAX(0,G689-SUMIFS('Paiements contrat'!$B:$B,'Paiements contrat'!$A:$A,A689))</f>
        <v/>
      </c>
      <c r="I689" s="4" t="n">
        <v>30639.5</v>
      </c>
      <c r="J689" t="inlineStr">
        <is>
          <t>actif</t>
        </is>
      </c>
    </row>
    <row r="690">
      <c r="A690" t="inlineStr">
        <is>
          <t>CTR-00702</t>
        </is>
      </c>
      <c r="B690" t="inlineStr">
        <is>
          <t>CLI-00897</t>
        </is>
      </c>
      <c r="C690" t="inlineStr">
        <is>
          <t>Île-de-France</t>
        </is>
      </c>
      <c r="D690" t="inlineStr">
        <is>
          <t>auto</t>
        </is>
      </c>
      <c r="E690" t="inlineStr">
        <is>
          <t>LOA</t>
        </is>
      </c>
      <c r="F690" t="inlineStr">
        <is>
          <t>2025-03-08</t>
        </is>
      </c>
      <c r="G690" s="4" t="n">
        <v>34406.57</v>
      </c>
      <c r="H690" s="4">
        <f>MAX(0,G690-SUMIFS('Paiements contrat'!$B:$B,'Paiements contrat'!$A:$A,A690))</f>
        <v/>
      </c>
      <c r="I690" s="4" t="n">
        <v>24630.78</v>
      </c>
      <c r="J690" t="inlineStr">
        <is>
          <t>actif</t>
        </is>
      </c>
    </row>
    <row r="691">
      <c r="A691" t="inlineStr">
        <is>
          <t>CTR-00703</t>
        </is>
      </c>
      <c r="B691" t="inlineStr">
        <is>
          <t>CLI-01268</t>
        </is>
      </c>
      <c r="C691" t="inlineStr">
        <is>
          <t>Île-de-France</t>
        </is>
      </c>
      <c r="D691" t="inlineStr">
        <is>
          <t>auto</t>
        </is>
      </c>
      <c r="E691" t="inlineStr">
        <is>
          <t>LLD</t>
        </is>
      </c>
      <c r="F691" t="inlineStr">
        <is>
          <t>2024-06-09</t>
        </is>
      </c>
      <c r="G691" s="4" t="n">
        <v>37714.82</v>
      </c>
      <c r="H691" s="4">
        <f>MAX(0,G691-SUMIFS('Paiements contrat'!$B:$B,'Paiements contrat'!$A:$A,A691))</f>
        <v/>
      </c>
      <c r="I691" s="4" t="n">
        <v>7085.064255858983</v>
      </c>
      <c r="J691" t="inlineStr">
        <is>
          <t>actif</t>
        </is>
      </c>
    </row>
    <row r="692">
      <c r="A692" t="inlineStr">
        <is>
          <t>CTR-00704</t>
        </is>
      </c>
      <c r="B692" t="inlineStr">
        <is>
          <t>CLI-00408</t>
        </is>
      </c>
      <c r="C692" t="inlineStr">
        <is>
          <t>Réunion</t>
        </is>
      </c>
      <c r="D692" t="inlineStr">
        <is>
          <t>auto</t>
        </is>
      </c>
      <c r="E692" t="inlineStr">
        <is>
          <t>LLD</t>
        </is>
      </c>
      <c r="F692" t="inlineStr">
        <is>
          <t>2026-03-26</t>
        </is>
      </c>
      <c r="G692" s="4" t="n">
        <v>26302.94</v>
      </c>
      <c r="H692" s="4">
        <f>MAX(0,G692-SUMIFS('Paiements contrat'!$B:$B,'Paiements contrat'!$A:$A,A692))</f>
        <v/>
      </c>
      <c r="I692" s="4" t="n">
        <v>26302.94</v>
      </c>
      <c r="J692" t="inlineStr">
        <is>
          <t>actif</t>
        </is>
      </c>
    </row>
    <row r="693">
      <c r="A693" t="inlineStr">
        <is>
          <t>CTR-00705</t>
        </is>
      </c>
      <c r="B693" t="inlineStr">
        <is>
          <t>CLI-00414</t>
        </is>
      </c>
      <c r="C693" t="inlineStr">
        <is>
          <t>Île-de-France</t>
        </is>
      </c>
      <c r="D693" t="inlineStr">
        <is>
          <t>auto</t>
        </is>
      </c>
      <c r="E693" t="inlineStr">
        <is>
          <t>LOA</t>
        </is>
      </c>
      <c r="F693" t="inlineStr">
        <is>
          <t>2024-06-03</t>
        </is>
      </c>
      <c r="G693" s="4" t="n">
        <v>61744.85</v>
      </c>
      <c r="H693" s="4">
        <f>MAX(0,G693-SUMIFS('Paiements contrat'!$B:$B,'Paiements contrat'!$A:$A,A693))</f>
        <v/>
      </c>
      <c r="I693" s="4" t="n">
        <v>15747.77</v>
      </c>
      <c r="J693" t="inlineStr">
        <is>
          <t>contentieux</t>
        </is>
      </c>
    </row>
    <row r="694">
      <c r="A694" t="inlineStr">
        <is>
          <t>CTR-00706</t>
        </is>
      </c>
      <c r="B694" t="inlineStr">
        <is>
          <t>CLI-01163</t>
        </is>
      </c>
      <c r="C694" t="inlineStr">
        <is>
          <t>Martinique</t>
        </is>
      </c>
      <c r="D694" t="inlineStr">
        <is>
          <t>auto</t>
        </is>
      </c>
      <c r="E694" t="inlineStr">
        <is>
          <t>LLD</t>
        </is>
      </c>
      <c r="F694" t="inlineStr">
        <is>
          <t>2026-03-07</t>
        </is>
      </c>
      <c r="G694" s="4" t="n">
        <v>32373.17</v>
      </c>
      <c r="H694" s="4">
        <f>MAX(0,G694-SUMIFS('Paiements contrat'!$B:$B,'Paiements contrat'!$A:$A,A694))</f>
        <v/>
      </c>
      <c r="I694" s="4" t="n">
        <v>32373.17</v>
      </c>
      <c r="J694" t="inlineStr">
        <is>
          <t>actif</t>
        </is>
      </c>
    </row>
    <row r="695">
      <c r="A695" t="inlineStr">
        <is>
          <t>CTR-00708</t>
        </is>
      </c>
      <c r="B695" t="inlineStr">
        <is>
          <t>CLI-00084</t>
        </is>
      </c>
      <c r="C695" t="inlineStr">
        <is>
          <t>Île-de-France</t>
        </is>
      </c>
      <c r="D695" t="inlineStr">
        <is>
          <t>auto</t>
        </is>
      </c>
      <c r="E695" t="inlineStr">
        <is>
          <t>LOA</t>
        </is>
      </c>
      <c r="F695" t="inlineStr">
        <is>
          <t>2025-10-09</t>
        </is>
      </c>
      <c r="G695" s="4" t="n">
        <v>35176</v>
      </c>
      <c r="H695" s="4">
        <f>MAX(0,G695-SUMIFS('Paiements contrat'!$B:$B,'Paiements contrat'!$A:$A,A695))</f>
        <v/>
      </c>
      <c r="I695" s="4" t="n">
        <v>28311.93</v>
      </c>
      <c r="J695" t="inlineStr">
        <is>
          <t>actif</t>
        </is>
      </c>
    </row>
    <row r="696">
      <c r="A696" t="inlineStr">
        <is>
          <t>CTR-00709</t>
        </is>
      </c>
      <c r="B696" t="inlineStr">
        <is>
          <t>CLI-00279</t>
        </is>
      </c>
      <c r="C696" t="inlineStr">
        <is>
          <t>Île-de-France</t>
        </is>
      </c>
      <c r="D696" t="inlineStr">
        <is>
          <t>auto</t>
        </is>
      </c>
      <c r="E696" t="inlineStr">
        <is>
          <t>LLD</t>
        </is>
      </c>
      <c r="F696" t="inlineStr">
        <is>
          <t>2025-03-27</t>
        </is>
      </c>
      <c r="G696" s="4" t="n">
        <v>31245.07</v>
      </c>
      <c r="H696" s="4">
        <f>MAX(0,G696-SUMIFS('Paiements contrat'!$B:$B,'Paiements contrat'!$A:$A,A696))</f>
        <v/>
      </c>
      <c r="I696" s="4" t="n">
        <v>21424.45</v>
      </c>
      <c r="J696" t="inlineStr">
        <is>
          <t>actif</t>
        </is>
      </c>
    </row>
    <row r="697">
      <c r="A697" t="inlineStr">
        <is>
          <t>CTR-00710</t>
        </is>
      </c>
      <c r="B697" t="inlineStr">
        <is>
          <t>CLI-00809</t>
        </is>
      </c>
      <c r="C697" t="inlineStr">
        <is>
          <t>Île-de-France</t>
        </is>
      </c>
      <c r="D697" t="inlineStr">
        <is>
          <t>bateau</t>
        </is>
      </c>
      <c r="E697" t="inlineStr">
        <is>
          <t>LOA</t>
        </is>
      </c>
      <c r="F697" t="inlineStr">
        <is>
          <t>2024-12-20</t>
        </is>
      </c>
      <c r="G697" s="4" t="n">
        <v>266852.58</v>
      </c>
      <c r="H697" s="4">
        <f>MAX(0,G697-SUMIFS('Paiements contrat'!$B:$B,'Paiements contrat'!$A:$A,A697))</f>
        <v/>
      </c>
      <c r="I697" s="4" t="n">
        <v>198926.4229509811</v>
      </c>
      <c r="J697" t="inlineStr">
        <is>
          <t>actif</t>
        </is>
      </c>
    </row>
    <row r="698">
      <c r="A698" t="inlineStr">
        <is>
          <t>CTR-00711</t>
        </is>
      </c>
      <c r="B698" t="inlineStr">
        <is>
          <t>CLI-00089</t>
        </is>
      </c>
      <c r="C698" t="inlineStr">
        <is>
          <t>Guyane</t>
        </is>
      </c>
      <c r="D698" t="inlineStr">
        <is>
          <t>auto</t>
        </is>
      </c>
      <c r="E698" t="inlineStr">
        <is>
          <t>LOA</t>
        </is>
      </c>
      <c r="F698" t="inlineStr">
        <is>
          <t>2024-10-04</t>
        </is>
      </c>
      <c r="G698" s="4" t="n">
        <v>69940.06</v>
      </c>
      <c r="H698" s="4">
        <f>MAX(0,G698-SUMIFS('Paiements contrat'!$B:$B,'Paiements contrat'!$A:$A,A698))</f>
        <v/>
      </c>
      <c r="I698" s="4" t="n">
        <v>28681.4599547098</v>
      </c>
      <c r="J698" t="inlineStr">
        <is>
          <t>actif</t>
        </is>
      </c>
    </row>
    <row r="699">
      <c r="A699" t="inlineStr">
        <is>
          <t>CTR-00712</t>
        </is>
      </c>
      <c r="B699" t="inlineStr">
        <is>
          <t>CLI-00047</t>
        </is>
      </c>
      <c r="C699" t="inlineStr">
        <is>
          <t>Martinique</t>
        </is>
      </c>
      <c r="D699" t="inlineStr">
        <is>
          <t>materiel</t>
        </is>
      </c>
      <c r="E699" t="inlineStr">
        <is>
          <t>crédit-bail</t>
        </is>
      </c>
      <c r="F699" t="inlineStr">
        <is>
          <t>2025-02-01</t>
        </is>
      </c>
      <c r="G699" s="4" t="n">
        <v>26596.93</v>
      </c>
      <c r="H699" s="4">
        <f>MAX(0,G699-SUMIFS('Paiements contrat'!$B:$B,'Paiements contrat'!$A:$A,A699))</f>
        <v/>
      </c>
      <c r="I699" s="4" t="n">
        <v>15077.65873771857</v>
      </c>
      <c r="J699" t="inlineStr">
        <is>
          <t>actif</t>
        </is>
      </c>
    </row>
    <row r="700">
      <c r="A700" t="inlineStr">
        <is>
          <t>CTR-00713</t>
        </is>
      </c>
      <c r="B700" t="inlineStr">
        <is>
          <t>CLI-01395</t>
        </is>
      </c>
      <c r="C700" t="inlineStr">
        <is>
          <t>Guadeloupe</t>
        </is>
      </c>
      <c r="D700" t="inlineStr">
        <is>
          <t>materiel</t>
        </is>
      </c>
      <c r="E700" t="inlineStr">
        <is>
          <t>crédit-bail</t>
        </is>
      </c>
      <c r="F700" t="inlineStr">
        <is>
          <t>2024-12-27</t>
        </is>
      </c>
      <c r="G700" s="4" t="n">
        <v>25793.86</v>
      </c>
      <c r="H700" s="4">
        <f>MAX(0,G700-SUMIFS('Paiements contrat'!$B:$B,'Paiements contrat'!$A:$A,A700))</f>
        <v/>
      </c>
      <c r="I700" s="4" t="n">
        <v>12190.34</v>
      </c>
      <c r="J700" t="inlineStr">
        <is>
          <t>actif</t>
        </is>
      </c>
    </row>
    <row r="701">
      <c r="A701" t="inlineStr">
        <is>
          <t>CTR-00714</t>
        </is>
      </c>
      <c r="B701" t="inlineStr">
        <is>
          <t>CLI-01016</t>
        </is>
      </c>
      <c r="C701" t="inlineStr">
        <is>
          <t>Île-de-France</t>
        </is>
      </c>
      <c r="D701" t="inlineStr">
        <is>
          <t>materiel</t>
        </is>
      </c>
      <c r="E701" t="inlineStr">
        <is>
          <t>crédit-bail</t>
        </is>
      </c>
      <c r="F701" t="inlineStr">
        <is>
          <t>2026-03-07</t>
        </is>
      </c>
      <c r="G701" s="4" t="n">
        <v>134381.58</v>
      </c>
      <c r="H701" s="4">
        <f>MAX(0,G701-SUMIFS('Paiements contrat'!$B:$B,'Paiements contrat'!$A:$A,A701))</f>
        <v/>
      </c>
      <c r="I701" s="4" t="n">
        <v>134381.58</v>
      </c>
      <c r="J701" t="inlineStr">
        <is>
          <t>actif</t>
        </is>
      </c>
    </row>
    <row r="702">
      <c r="A702" t="inlineStr">
        <is>
          <t>CTR-00715</t>
        </is>
      </c>
      <c r="B702" t="inlineStr">
        <is>
          <t>CLI-00593</t>
        </is>
      </c>
      <c r="C702" t="inlineStr">
        <is>
          <t>Île-de-France</t>
        </is>
      </c>
      <c r="D702" t="inlineStr">
        <is>
          <t>auto</t>
        </is>
      </c>
      <c r="E702" t="inlineStr">
        <is>
          <t>LLD</t>
        </is>
      </c>
      <c r="F702" t="inlineStr">
        <is>
          <t>2024-05-13</t>
        </is>
      </c>
      <c r="G702" s="4" t="n">
        <v>50202.86</v>
      </c>
      <c r="H702" s="4">
        <f>MAX(0,G702-SUMIFS('Paiements contrat'!$B:$B,'Paiements contrat'!$A:$A,A702))</f>
        <v/>
      </c>
      <c r="I702" s="4" t="n">
        <v>24122.74</v>
      </c>
      <c r="J702" t="inlineStr">
        <is>
          <t>actif</t>
        </is>
      </c>
    </row>
    <row r="703">
      <c r="A703" t="inlineStr">
        <is>
          <t>CTR-00716</t>
        </is>
      </c>
      <c r="B703" t="inlineStr">
        <is>
          <t>CLI-01251</t>
        </is>
      </c>
      <c r="C703" t="inlineStr">
        <is>
          <t>Île-de-France</t>
        </is>
      </c>
      <c r="D703" t="inlineStr">
        <is>
          <t>materiel</t>
        </is>
      </c>
      <c r="E703" t="inlineStr">
        <is>
          <t>crédit-bail</t>
        </is>
      </c>
      <c r="F703" t="inlineStr">
        <is>
          <t>2025-01-07</t>
        </is>
      </c>
      <c r="G703" s="4" t="n">
        <v>177638.43</v>
      </c>
      <c r="H703" s="4">
        <f>MAX(0,G703-SUMIFS('Paiements contrat'!$B:$B,'Paiements contrat'!$A:$A,A703))</f>
        <v/>
      </c>
      <c r="I703" s="4" t="n">
        <v>138758.1</v>
      </c>
      <c r="J703" t="inlineStr">
        <is>
          <t>actif</t>
        </is>
      </c>
    </row>
    <row r="704">
      <c r="A704" t="inlineStr">
        <is>
          <t>CTR-00717</t>
        </is>
      </c>
      <c r="B704" t="inlineStr">
        <is>
          <t>CLI-00782</t>
        </is>
      </c>
      <c r="C704" t="inlineStr">
        <is>
          <t>Île-de-France</t>
        </is>
      </c>
      <c r="D704" t="inlineStr">
        <is>
          <t>materiel</t>
        </is>
      </c>
      <c r="E704" t="inlineStr">
        <is>
          <t>crédit-bail</t>
        </is>
      </c>
      <c r="F704" t="inlineStr">
        <is>
          <t>2024-10-02</t>
        </is>
      </c>
      <c r="G704" s="4" t="n">
        <v>124912.19</v>
      </c>
      <c r="H704" s="4">
        <f>MAX(0,G704-SUMIFS('Paiements contrat'!$B:$B,'Paiements contrat'!$A:$A,A704))</f>
        <v/>
      </c>
      <c r="I704" s="4" t="n">
        <v>43102.47</v>
      </c>
      <c r="J704" t="inlineStr">
        <is>
          <t>actif</t>
        </is>
      </c>
    </row>
    <row r="705">
      <c r="A705" t="inlineStr">
        <is>
          <t>CTR-00719</t>
        </is>
      </c>
      <c r="B705" t="inlineStr">
        <is>
          <t>CLI-01048</t>
        </is>
      </c>
      <c r="C705" t="inlineStr">
        <is>
          <t>Martinique</t>
        </is>
      </c>
      <c r="D705" t="inlineStr">
        <is>
          <t>auto</t>
        </is>
      </c>
      <c r="E705" t="inlineStr">
        <is>
          <t>LOA</t>
        </is>
      </c>
      <c r="F705" t="inlineStr">
        <is>
          <t>2025-04-25</t>
        </is>
      </c>
      <c r="G705" s="4" t="n">
        <v>54501.61</v>
      </c>
      <c r="H705" s="4">
        <f>MAX(0,G705-SUMIFS('Paiements contrat'!$B:$B,'Paiements contrat'!$A:$A,A705))</f>
        <v/>
      </c>
      <c r="I705" s="4" t="n">
        <v>46504.34</v>
      </c>
      <c r="J705" t="inlineStr">
        <is>
          <t>actif</t>
        </is>
      </c>
    </row>
    <row r="706">
      <c r="A706" t="inlineStr">
        <is>
          <t>CTR-00720</t>
        </is>
      </c>
      <c r="B706" t="inlineStr">
        <is>
          <t>CLI-00581</t>
        </is>
      </c>
      <c r="C706" t="inlineStr">
        <is>
          <t>Île-de-France</t>
        </is>
      </c>
      <c r="D706" t="inlineStr">
        <is>
          <t>materiel</t>
        </is>
      </c>
      <c r="E706" t="inlineStr">
        <is>
          <t>crédit-bail</t>
        </is>
      </c>
      <c r="F706" t="inlineStr">
        <is>
          <t>2024-06-20</t>
        </is>
      </c>
      <c r="G706" s="4" t="n">
        <v>177392.75</v>
      </c>
      <c r="H706" s="4">
        <f>MAX(0,G706-SUMIFS('Paiements contrat'!$B:$B,'Paiements contrat'!$A:$A,A706))</f>
        <v/>
      </c>
      <c r="I706" s="4" t="n">
        <v>62156.11</v>
      </c>
      <c r="J706" t="inlineStr">
        <is>
          <t>actif</t>
        </is>
      </c>
    </row>
    <row r="707">
      <c r="A707" t="inlineStr">
        <is>
          <t>CTR-00721</t>
        </is>
      </c>
      <c r="B707" t="inlineStr">
        <is>
          <t>CLI-00646</t>
        </is>
      </c>
      <c r="C707" t="inlineStr">
        <is>
          <t>Martinique</t>
        </is>
      </c>
      <c r="D707" t="inlineStr">
        <is>
          <t>auto</t>
        </is>
      </c>
      <c r="E707" t="inlineStr">
        <is>
          <t>LLD</t>
        </is>
      </c>
      <c r="F707" t="inlineStr">
        <is>
          <t>2026-02-21</t>
        </is>
      </c>
      <c r="G707" s="4" t="n">
        <v>60024.64</v>
      </c>
      <c r="H707" s="4">
        <f>MAX(0,G707-SUMIFS('Paiements contrat'!$B:$B,'Paiements contrat'!$A:$A,A707))</f>
        <v/>
      </c>
      <c r="I707" s="4" t="n">
        <v>57672.65</v>
      </c>
      <c r="J707" t="inlineStr">
        <is>
          <t>actif</t>
        </is>
      </c>
    </row>
    <row r="708">
      <c r="A708" t="inlineStr">
        <is>
          <t>CTR-00722</t>
        </is>
      </c>
      <c r="B708" t="inlineStr">
        <is>
          <t>CLI-01454</t>
        </is>
      </c>
      <c r="C708" t="inlineStr">
        <is>
          <t>Guyane</t>
        </is>
      </c>
      <c r="D708" t="inlineStr">
        <is>
          <t>auto</t>
        </is>
      </c>
      <c r="E708" t="inlineStr">
        <is>
          <t>LOA</t>
        </is>
      </c>
      <c r="F708" t="inlineStr">
        <is>
          <t>2024-06-06</t>
        </is>
      </c>
      <c r="G708" s="4" t="n">
        <v>60789.99</v>
      </c>
      <c r="H708" s="4">
        <f>MAX(0,G708-SUMIFS('Paiements contrat'!$B:$B,'Paiements contrat'!$A:$A,A708))</f>
        <v/>
      </c>
      <c r="I708" s="4" t="n">
        <v>20768.13</v>
      </c>
      <c r="J708" t="inlineStr">
        <is>
          <t>actif</t>
        </is>
      </c>
    </row>
    <row r="709">
      <c r="A709" t="inlineStr">
        <is>
          <t>CTR-00723</t>
        </is>
      </c>
      <c r="B709" t="inlineStr">
        <is>
          <t>CLI-01249</t>
        </is>
      </c>
      <c r="C709" t="inlineStr">
        <is>
          <t>Martinique</t>
        </is>
      </c>
      <c r="D709" t="inlineStr">
        <is>
          <t>auto</t>
        </is>
      </c>
      <c r="E709" t="inlineStr">
        <is>
          <t>LOA</t>
        </is>
      </c>
      <c r="F709" t="inlineStr">
        <is>
          <t>2026-01-23</t>
        </is>
      </c>
      <c r="G709" s="4" t="n">
        <v>51477.06</v>
      </c>
      <c r="H709" s="4">
        <f>MAX(0,G709-SUMIFS('Paiements contrat'!$B:$B,'Paiements contrat'!$A:$A,A709))</f>
        <v/>
      </c>
      <c r="I709" s="4" t="n">
        <v>47884.63662220414</v>
      </c>
      <c r="J709" t="inlineStr">
        <is>
          <t>actif</t>
        </is>
      </c>
    </row>
    <row r="710">
      <c r="A710" t="inlineStr">
        <is>
          <t>CTR-00724</t>
        </is>
      </c>
      <c r="B710" t="inlineStr">
        <is>
          <t>CLI-00829</t>
        </is>
      </c>
      <c r="C710" t="inlineStr">
        <is>
          <t>Île-de-France</t>
        </is>
      </c>
      <c r="D710" t="inlineStr">
        <is>
          <t>auto</t>
        </is>
      </c>
      <c r="E710" t="inlineStr">
        <is>
          <t>LLD</t>
        </is>
      </c>
      <c r="F710" t="inlineStr">
        <is>
          <t>2025-04-17</t>
        </is>
      </c>
      <c r="G710" s="4" t="n">
        <v>21717.53</v>
      </c>
      <c r="H710" s="4">
        <f>MAX(0,G710-SUMIFS('Paiements contrat'!$B:$B,'Paiements contrat'!$A:$A,A710))</f>
        <v/>
      </c>
      <c r="I710" s="4" t="n">
        <v>16614.88</v>
      </c>
      <c r="J710" t="inlineStr">
        <is>
          <t>actif</t>
        </is>
      </c>
    </row>
    <row r="711">
      <c r="A711" t="inlineStr">
        <is>
          <t>CTR-00725</t>
        </is>
      </c>
      <c r="B711" t="inlineStr">
        <is>
          <t>CLI-00511</t>
        </is>
      </c>
      <c r="C711" t="inlineStr">
        <is>
          <t>Île-de-France</t>
        </is>
      </c>
      <c r="D711" t="inlineStr">
        <is>
          <t>auto</t>
        </is>
      </c>
      <c r="E711" t="inlineStr">
        <is>
          <t>LOA</t>
        </is>
      </c>
      <c r="F711" t="inlineStr">
        <is>
          <t>2025-06-23</t>
        </is>
      </c>
      <c r="G711" s="4" t="n">
        <v>19876.28</v>
      </c>
      <c r="H711" s="4">
        <f>MAX(0,G711-SUMIFS('Paiements contrat'!$B:$B,'Paiements contrat'!$A:$A,A711))</f>
        <v/>
      </c>
      <c r="I711" s="4" t="n">
        <v>14212.4</v>
      </c>
      <c r="J711" t="inlineStr">
        <is>
          <t>actif</t>
        </is>
      </c>
    </row>
    <row r="712">
      <c r="A712" t="inlineStr">
        <is>
          <t>CTR-00726</t>
        </is>
      </c>
      <c r="B712" t="inlineStr">
        <is>
          <t>CLI-01030</t>
        </is>
      </c>
      <c r="C712" t="inlineStr">
        <is>
          <t>Île-de-France</t>
        </is>
      </c>
      <c r="D712" t="inlineStr">
        <is>
          <t>materiel</t>
        </is>
      </c>
      <c r="E712" t="inlineStr">
        <is>
          <t>crédit-bail</t>
        </is>
      </c>
      <c r="F712" t="inlineStr">
        <is>
          <t>2024-04-10</t>
        </is>
      </c>
      <c r="G712" s="4" t="n">
        <v>84633.17</v>
      </c>
      <c r="H712" s="4">
        <f>MAX(0,G712-SUMIFS('Paiements contrat'!$B:$B,'Paiements contrat'!$A:$A,A712))</f>
        <v/>
      </c>
      <c r="I712" s="4" t="n">
        <v>39027.06</v>
      </c>
      <c r="J712" t="inlineStr">
        <is>
          <t>actif</t>
        </is>
      </c>
    </row>
    <row r="713">
      <c r="A713" t="inlineStr">
        <is>
          <t>CTR-00727</t>
        </is>
      </c>
      <c r="B713" t="inlineStr">
        <is>
          <t>CLI-01111</t>
        </is>
      </c>
      <c r="C713" t="inlineStr">
        <is>
          <t>Île-de-France</t>
        </is>
      </c>
      <c r="D713" t="inlineStr">
        <is>
          <t>materiel</t>
        </is>
      </c>
      <c r="E713" t="inlineStr">
        <is>
          <t>crédit-bail</t>
        </is>
      </c>
      <c r="F713" t="inlineStr">
        <is>
          <t>2025-02-18</t>
        </is>
      </c>
      <c r="G713" s="4" t="n">
        <v>105930.41</v>
      </c>
      <c r="H713" s="4">
        <f>MAX(0,G713-SUMIFS('Paiements contrat'!$B:$B,'Paiements contrat'!$A:$A,A713))</f>
        <v/>
      </c>
      <c r="I713" s="4" t="n">
        <v>59024.7</v>
      </c>
      <c r="J713" t="inlineStr">
        <is>
          <t>actif</t>
        </is>
      </c>
    </row>
    <row r="714">
      <c r="A714" t="inlineStr">
        <is>
          <t>CTR-00728</t>
        </is>
      </c>
      <c r="B714" t="inlineStr">
        <is>
          <t>CLI-00598</t>
        </is>
      </c>
      <c r="C714" t="inlineStr">
        <is>
          <t>Guadeloupe</t>
        </is>
      </c>
      <c r="D714" t="inlineStr">
        <is>
          <t>auto</t>
        </is>
      </c>
      <c r="E714" t="inlineStr">
        <is>
          <t>LLD</t>
        </is>
      </c>
      <c r="F714" t="inlineStr">
        <is>
          <t>2026-01-02</t>
        </is>
      </c>
      <c r="G714" s="4" t="n">
        <v>43217.53</v>
      </c>
      <c r="H714" s="4">
        <f>MAX(0,G714-SUMIFS('Paiements contrat'!$B:$B,'Paiements contrat'!$A:$A,A714))</f>
        <v/>
      </c>
      <c r="I714" s="4" t="n">
        <v>38597.6</v>
      </c>
      <c r="J714" t="inlineStr">
        <is>
          <t>actif</t>
        </is>
      </c>
    </row>
    <row r="715">
      <c r="A715" t="inlineStr">
        <is>
          <t>CTR-00729</t>
        </is>
      </c>
      <c r="B715" t="inlineStr">
        <is>
          <t>CLI-01020</t>
        </is>
      </c>
      <c r="C715" t="inlineStr">
        <is>
          <t>Île-de-France</t>
        </is>
      </c>
      <c r="D715" t="inlineStr">
        <is>
          <t>materiel</t>
        </is>
      </c>
      <c r="E715" t="inlineStr">
        <is>
          <t>crédit-bail</t>
        </is>
      </c>
      <c r="F715" t="inlineStr">
        <is>
          <t>2025-07-03</t>
        </is>
      </c>
      <c r="G715" s="4" t="n">
        <v>120976.38</v>
      </c>
      <c r="H715" s="4">
        <f>MAX(0,G715-SUMIFS('Paiements contrat'!$B:$B,'Paiements contrat'!$A:$A,A715))</f>
        <v/>
      </c>
      <c r="I715" s="4" t="n">
        <v>98329.51000000001</v>
      </c>
      <c r="J715" t="inlineStr">
        <is>
          <t>actif</t>
        </is>
      </c>
    </row>
    <row r="716">
      <c r="A716" t="inlineStr">
        <is>
          <t>CTR-00730</t>
        </is>
      </c>
      <c r="B716" t="inlineStr">
        <is>
          <t>CLI-01358</t>
        </is>
      </c>
      <c r="C716" t="inlineStr">
        <is>
          <t>Île-de-France</t>
        </is>
      </c>
      <c r="D716" t="inlineStr">
        <is>
          <t>bateau</t>
        </is>
      </c>
      <c r="E716" t="inlineStr">
        <is>
          <t>LOA</t>
        </is>
      </c>
      <c r="F716" t="inlineStr">
        <is>
          <t>2024-12-13</t>
        </is>
      </c>
      <c r="G716" s="4" t="n">
        <v>118665.13</v>
      </c>
      <c r="H716" s="4">
        <f>MAX(0,G716-SUMIFS('Paiements contrat'!$B:$B,'Paiements contrat'!$A:$A,A716))</f>
        <v/>
      </c>
      <c r="I716" s="4" t="n">
        <v>90133.11</v>
      </c>
      <c r="J716" t="inlineStr">
        <is>
          <t>actif</t>
        </is>
      </c>
    </row>
    <row r="717">
      <c r="A717" t="inlineStr">
        <is>
          <t>CTR-00731</t>
        </is>
      </c>
      <c r="B717" t="inlineStr">
        <is>
          <t>CLI-00233</t>
        </is>
      </c>
      <c r="C717" t="inlineStr">
        <is>
          <t>Île-de-France</t>
        </is>
      </c>
      <c r="D717" t="inlineStr">
        <is>
          <t>auto</t>
        </is>
      </c>
      <c r="E717" t="inlineStr">
        <is>
          <t>LOA</t>
        </is>
      </c>
      <c r="F717" t="inlineStr">
        <is>
          <t>2025-04-04</t>
        </is>
      </c>
      <c r="G717" s="4" t="n">
        <v>64140.65</v>
      </c>
      <c r="H717" s="4">
        <f>MAX(0,G717-SUMIFS('Paiements contrat'!$B:$B,'Paiements contrat'!$A:$A,A717))</f>
        <v/>
      </c>
      <c r="I717" s="4" t="n">
        <v>40485.26</v>
      </c>
      <c r="J717" t="inlineStr">
        <is>
          <t>actif</t>
        </is>
      </c>
    </row>
    <row r="718">
      <c r="A718" t="inlineStr">
        <is>
          <t>CTR-00732</t>
        </is>
      </c>
      <c r="B718" t="inlineStr">
        <is>
          <t>CLI-01157</t>
        </is>
      </c>
      <c r="C718" t="inlineStr">
        <is>
          <t>Île-de-France</t>
        </is>
      </c>
      <c r="D718" t="inlineStr">
        <is>
          <t>auto</t>
        </is>
      </c>
      <c r="E718" t="inlineStr">
        <is>
          <t>LOA</t>
        </is>
      </c>
      <c r="F718" t="inlineStr">
        <is>
          <t>2024-06-01</t>
        </is>
      </c>
      <c r="G718" s="4" t="n">
        <v>59406.06</v>
      </c>
      <c r="H718" s="4">
        <f>MAX(0,G718-SUMIFS('Paiements contrat'!$B:$B,'Paiements contrat'!$A:$A,A718))</f>
        <v/>
      </c>
      <c r="I718" s="4" t="n">
        <v>9096.112211169821</v>
      </c>
      <c r="J718" t="inlineStr">
        <is>
          <t>actif</t>
        </is>
      </c>
    </row>
    <row r="719">
      <c r="A719" t="inlineStr">
        <is>
          <t>CTR-00733</t>
        </is>
      </c>
      <c r="B719" t="inlineStr">
        <is>
          <t>CLI-00840</t>
        </is>
      </c>
      <c r="C719" t="inlineStr">
        <is>
          <t>Île-de-France</t>
        </is>
      </c>
      <c r="D719" t="inlineStr">
        <is>
          <t>auto</t>
        </is>
      </c>
      <c r="E719" t="inlineStr">
        <is>
          <t>LLD</t>
        </is>
      </c>
      <c r="F719" t="inlineStr">
        <is>
          <t>2025-07-06</t>
        </is>
      </c>
      <c r="G719" s="4" t="n">
        <v>63161.28</v>
      </c>
      <c r="H719" s="4">
        <f>MAX(0,G719-SUMIFS('Paiements contrat'!$B:$B,'Paiements contrat'!$A:$A,A719))</f>
        <v/>
      </c>
      <c r="I719" s="4" t="n">
        <v>52095.78</v>
      </c>
      <c r="J719" t="inlineStr">
        <is>
          <t>actif</t>
        </is>
      </c>
    </row>
    <row r="720">
      <c r="A720" t="inlineStr">
        <is>
          <t>CTR-00734</t>
        </is>
      </c>
      <c r="B720" t="inlineStr">
        <is>
          <t>CLI-00006</t>
        </is>
      </c>
      <c r="C720" t="inlineStr">
        <is>
          <t>Réunion</t>
        </is>
      </c>
      <c r="D720" t="inlineStr">
        <is>
          <t>materiel</t>
        </is>
      </c>
      <c r="E720" t="inlineStr">
        <is>
          <t>crédit-bail</t>
        </is>
      </c>
      <c r="F720" t="inlineStr">
        <is>
          <t>2026-01-20</t>
        </is>
      </c>
      <c r="G720" s="4" t="n">
        <v>57541.59</v>
      </c>
      <c r="H720" s="4">
        <f>MAX(0,G720-SUMIFS('Paiements contrat'!$B:$B,'Paiements contrat'!$A:$A,A720))</f>
        <v/>
      </c>
      <c r="I720" s="4" t="n">
        <v>51519.17999999999</v>
      </c>
      <c r="J720" t="inlineStr">
        <is>
          <t>actif</t>
        </is>
      </c>
    </row>
    <row r="721">
      <c r="A721" t="inlineStr">
        <is>
          <t>CTR-00735</t>
        </is>
      </c>
      <c r="B721" t="inlineStr">
        <is>
          <t>CLI-00916</t>
        </is>
      </c>
      <c r="C721" t="inlineStr">
        <is>
          <t>Île-de-France</t>
        </is>
      </c>
      <c r="D721" t="inlineStr">
        <is>
          <t>auto</t>
        </is>
      </c>
      <c r="E721" t="inlineStr">
        <is>
          <t>LLD</t>
        </is>
      </c>
      <c r="F721" t="inlineStr">
        <is>
          <t>2025-11-12</t>
        </is>
      </c>
      <c r="G721" s="4" t="n">
        <v>22303.67</v>
      </c>
      <c r="H721" s="4">
        <f>MAX(0,G721-SUMIFS('Paiements contrat'!$B:$B,'Paiements contrat'!$A:$A,A721))</f>
        <v/>
      </c>
      <c r="I721" s="4" t="n">
        <v>19951.39</v>
      </c>
      <c r="J721" t="inlineStr">
        <is>
          <t>actif</t>
        </is>
      </c>
    </row>
    <row r="722">
      <c r="A722" t="inlineStr">
        <is>
          <t>CTR-00736</t>
        </is>
      </c>
      <c r="B722" t="inlineStr">
        <is>
          <t>CLI-00191</t>
        </is>
      </c>
      <c r="C722" t="inlineStr">
        <is>
          <t>Île-de-France</t>
        </is>
      </c>
      <c r="D722" t="inlineStr">
        <is>
          <t>auto</t>
        </is>
      </c>
      <c r="E722" t="inlineStr">
        <is>
          <t>LLD</t>
        </is>
      </c>
      <c r="F722" t="inlineStr">
        <is>
          <t>2024-05-03</t>
        </is>
      </c>
      <c r="G722" s="4" t="n">
        <v>36837.64</v>
      </c>
      <c r="H722" s="4">
        <f>MAX(0,G722-SUMIFS('Paiements contrat'!$B:$B,'Paiements contrat'!$A:$A,A722))</f>
        <v/>
      </c>
      <c r="I722" s="4" t="n">
        <v>23828</v>
      </c>
      <c r="J722" t="inlineStr">
        <is>
          <t>actif</t>
        </is>
      </c>
    </row>
    <row r="723">
      <c r="A723" t="inlineStr">
        <is>
          <t>CTR-00737</t>
        </is>
      </c>
      <c r="B723" t="inlineStr">
        <is>
          <t>CLI-01197</t>
        </is>
      </c>
      <c r="C723" t="inlineStr">
        <is>
          <t>Réunion</t>
        </is>
      </c>
      <c r="D723" t="inlineStr">
        <is>
          <t>auto</t>
        </is>
      </c>
      <c r="E723" t="inlineStr">
        <is>
          <t>LLD</t>
        </is>
      </c>
      <c r="F723" t="inlineStr">
        <is>
          <t>2025-10-18</t>
        </is>
      </c>
      <c r="G723" s="4" t="n">
        <v>46877.83</v>
      </c>
      <c r="H723" s="4">
        <f>MAX(0,G723-SUMIFS('Paiements contrat'!$B:$B,'Paiements contrat'!$A:$A,A723))</f>
        <v/>
      </c>
      <c r="I723" s="4" t="n">
        <v>37534.81</v>
      </c>
      <c r="J723" t="inlineStr">
        <is>
          <t>actif</t>
        </is>
      </c>
    </row>
    <row r="724">
      <c r="A724" t="inlineStr">
        <is>
          <t>CTR-00739</t>
        </is>
      </c>
      <c r="B724" t="inlineStr">
        <is>
          <t>CLI-00773</t>
        </is>
      </c>
      <c r="C724" t="inlineStr">
        <is>
          <t>Île-de-France</t>
        </is>
      </c>
      <c r="D724" t="inlineStr">
        <is>
          <t>materiel</t>
        </is>
      </c>
      <c r="E724" t="inlineStr">
        <is>
          <t>crédit-bail</t>
        </is>
      </c>
      <c r="F724" t="inlineStr">
        <is>
          <t>2025-01-12</t>
        </is>
      </c>
      <c r="G724" s="4" t="n">
        <v>34630.34</v>
      </c>
      <c r="H724" s="4">
        <f>MAX(0,G724-SUMIFS('Paiements contrat'!$B:$B,'Paiements contrat'!$A:$A,A724))</f>
        <v/>
      </c>
      <c r="I724" s="4" t="n">
        <v>26578.05</v>
      </c>
      <c r="J724" t="inlineStr">
        <is>
          <t>actif</t>
        </is>
      </c>
    </row>
    <row r="725">
      <c r="A725" t="inlineStr">
        <is>
          <t>CTR-00740</t>
        </is>
      </c>
      <c r="B725" t="inlineStr">
        <is>
          <t>CLI-00124</t>
        </is>
      </c>
      <c r="C725" t="inlineStr">
        <is>
          <t>Île-de-France</t>
        </is>
      </c>
      <c r="D725" t="inlineStr">
        <is>
          <t>auto</t>
        </is>
      </c>
      <c r="E725" t="inlineStr">
        <is>
          <t>LLD</t>
        </is>
      </c>
      <c r="F725" t="inlineStr">
        <is>
          <t>2026-01-09</t>
        </is>
      </c>
      <c r="G725" s="4" t="n">
        <v>16770.22</v>
      </c>
      <c r="H725" s="4">
        <f>MAX(0,G725-SUMIFS('Paiements contrat'!$B:$B,'Paiements contrat'!$A:$A,A725))</f>
        <v/>
      </c>
      <c r="I725" s="4" t="n">
        <v>15941.33</v>
      </c>
      <c r="J725" t="inlineStr">
        <is>
          <t>actif</t>
        </is>
      </c>
    </row>
    <row r="726">
      <c r="A726" t="inlineStr">
        <is>
          <t>CTR-00741</t>
        </is>
      </c>
      <c r="B726" t="inlineStr">
        <is>
          <t>CLI-00466</t>
        </is>
      </c>
      <c r="C726" t="inlineStr">
        <is>
          <t>Île-de-France</t>
        </is>
      </c>
      <c r="D726" t="inlineStr">
        <is>
          <t>materiel</t>
        </is>
      </c>
      <c r="E726" t="inlineStr">
        <is>
          <t>crédit-bail</t>
        </is>
      </c>
      <c r="F726" t="inlineStr">
        <is>
          <t>2025-11-18</t>
        </is>
      </c>
      <c r="G726" s="4" t="n">
        <v>78100.67</v>
      </c>
      <c r="H726" s="4">
        <f>MAX(0,G726-SUMIFS('Paiements contrat'!$B:$B,'Paiements contrat'!$A:$A,A726))</f>
        <v/>
      </c>
      <c r="I726" s="4" t="n">
        <v>73305.98999999999</v>
      </c>
      <c r="J726" t="inlineStr">
        <is>
          <t>actif</t>
        </is>
      </c>
    </row>
    <row r="727">
      <c r="A727" t="inlineStr">
        <is>
          <t>CTR-00742</t>
        </is>
      </c>
      <c r="B727" t="inlineStr">
        <is>
          <t>CLI-01060</t>
        </is>
      </c>
      <c r="C727" t="inlineStr">
        <is>
          <t>Île-de-France</t>
        </is>
      </c>
      <c r="D727" t="inlineStr">
        <is>
          <t>auto</t>
        </is>
      </c>
      <c r="E727" t="inlineStr">
        <is>
          <t>LLD</t>
        </is>
      </c>
      <c r="F727" t="inlineStr">
        <is>
          <t>2024-07-22</t>
        </is>
      </c>
      <c r="G727" s="4" t="n">
        <v>27731.17</v>
      </c>
      <c r="H727" s="4">
        <f>MAX(0,G727-SUMIFS('Paiements contrat'!$B:$B,'Paiements contrat'!$A:$A,A727))</f>
        <v/>
      </c>
      <c r="I727" s="4" t="n">
        <v>14721.97894769365</v>
      </c>
      <c r="J727" t="inlineStr">
        <is>
          <t>actif</t>
        </is>
      </c>
    </row>
    <row r="728">
      <c r="A728" t="inlineStr">
        <is>
          <t>CTR-00743</t>
        </is>
      </c>
      <c r="B728" t="inlineStr">
        <is>
          <t>CLI-00573</t>
        </is>
      </c>
      <c r="C728" t="inlineStr">
        <is>
          <t>Île-de-France</t>
        </is>
      </c>
      <c r="D728" t="inlineStr">
        <is>
          <t>materiel</t>
        </is>
      </c>
      <c r="E728" t="inlineStr">
        <is>
          <t>crédit-bail</t>
        </is>
      </c>
      <c r="F728" t="inlineStr">
        <is>
          <t>2026-01-26</t>
        </is>
      </c>
      <c r="G728" s="4" t="n">
        <v>124153.79</v>
      </c>
      <c r="H728" s="4">
        <f>MAX(0,G728-SUMIFS('Paiements contrat'!$B:$B,'Paiements contrat'!$A:$A,A728))</f>
        <v/>
      </c>
      <c r="I728" s="4" t="n">
        <v>114113.86</v>
      </c>
      <c r="J728" t="inlineStr">
        <is>
          <t>actif</t>
        </is>
      </c>
    </row>
    <row r="729">
      <c r="A729" t="inlineStr">
        <is>
          <t>CTR-00744</t>
        </is>
      </c>
      <c r="B729" t="inlineStr">
        <is>
          <t>CLI-01121</t>
        </is>
      </c>
      <c r="C729" t="inlineStr">
        <is>
          <t>Île-de-France</t>
        </is>
      </c>
      <c r="D729" t="inlineStr">
        <is>
          <t>bateau</t>
        </is>
      </c>
      <c r="E729" t="inlineStr">
        <is>
          <t>LOA</t>
        </is>
      </c>
      <c r="F729" t="inlineStr">
        <is>
          <t>2026-03-20</t>
        </is>
      </c>
      <c r="G729" s="4" t="n">
        <v>29761.68</v>
      </c>
      <c r="H729" s="4">
        <f>MAX(0,G729-SUMIFS('Paiements contrat'!$B:$B,'Paiements contrat'!$A:$A,A729))</f>
        <v/>
      </c>
      <c r="I729" s="4" t="n">
        <v>29761.68</v>
      </c>
      <c r="J729" t="inlineStr">
        <is>
          <t>actif</t>
        </is>
      </c>
    </row>
    <row r="730">
      <c r="A730" t="inlineStr">
        <is>
          <t>CTR-00746</t>
        </is>
      </c>
      <c r="B730" t="inlineStr">
        <is>
          <t>CLI-00964</t>
        </is>
      </c>
      <c r="C730" t="inlineStr">
        <is>
          <t>Île-de-France</t>
        </is>
      </c>
      <c r="D730" t="inlineStr">
        <is>
          <t>materiel</t>
        </is>
      </c>
      <c r="E730" t="inlineStr">
        <is>
          <t>crédit-bail</t>
        </is>
      </c>
      <c r="F730" t="inlineStr">
        <is>
          <t>2026-01-23</t>
        </is>
      </c>
      <c r="G730" s="4" t="n">
        <v>105507.46</v>
      </c>
      <c r="H730" s="4">
        <f>MAX(0,G730-SUMIFS('Paiements contrat'!$B:$B,'Paiements contrat'!$A:$A,A730))</f>
        <v/>
      </c>
      <c r="I730" s="4" t="n">
        <v>101808.72</v>
      </c>
      <c r="J730" t="inlineStr">
        <is>
          <t>actif</t>
        </is>
      </c>
    </row>
    <row r="731">
      <c r="A731" t="inlineStr">
        <is>
          <t>CTR-00747</t>
        </is>
      </c>
      <c r="B731" t="inlineStr">
        <is>
          <t>CLI-00207</t>
        </is>
      </c>
      <c r="C731" t="inlineStr">
        <is>
          <t>Guyane</t>
        </is>
      </c>
      <c r="D731" t="inlineStr">
        <is>
          <t>auto</t>
        </is>
      </c>
      <c r="E731" t="inlineStr">
        <is>
          <t>LOA</t>
        </is>
      </c>
      <c r="F731" t="inlineStr">
        <is>
          <t>2025-10-06</t>
        </is>
      </c>
      <c r="G731" s="4" t="n">
        <v>19736.03</v>
      </c>
      <c r="H731" s="4">
        <f>MAX(0,G731-SUMIFS('Paiements contrat'!$B:$B,'Paiements contrat'!$A:$A,A731))</f>
        <v/>
      </c>
      <c r="I731" s="4" t="n">
        <v>17219.17</v>
      </c>
      <c r="J731" t="inlineStr">
        <is>
          <t>actif</t>
        </is>
      </c>
    </row>
    <row r="732">
      <c r="A732" t="inlineStr">
        <is>
          <t>CTR-00748</t>
        </is>
      </c>
      <c r="B732" t="inlineStr">
        <is>
          <t>CLI-00005</t>
        </is>
      </c>
      <c r="C732" t="inlineStr">
        <is>
          <t>Île-de-France</t>
        </is>
      </c>
      <c r="D732" t="inlineStr">
        <is>
          <t>auto</t>
        </is>
      </c>
      <c r="E732" t="inlineStr">
        <is>
          <t>LOA</t>
        </is>
      </c>
      <c r="F732" t="inlineStr">
        <is>
          <t>2024-10-09</t>
        </is>
      </c>
      <c r="G732" s="4" t="n">
        <v>61197.38</v>
      </c>
      <c r="H732" s="4">
        <f>MAX(0,G732-SUMIFS('Paiements contrat'!$B:$B,'Paiements contrat'!$A:$A,A732))</f>
        <v/>
      </c>
      <c r="I732" s="4" t="n">
        <v>37520.00183668808</v>
      </c>
      <c r="J732" t="inlineStr">
        <is>
          <t>actif</t>
        </is>
      </c>
    </row>
    <row r="733">
      <c r="A733" t="inlineStr">
        <is>
          <t>CTR-00749</t>
        </is>
      </c>
      <c r="B733" t="inlineStr">
        <is>
          <t>CLI-01453</t>
        </is>
      </c>
      <c r="C733" t="inlineStr">
        <is>
          <t>Île-de-France</t>
        </is>
      </c>
      <c r="D733" t="inlineStr">
        <is>
          <t>auto</t>
        </is>
      </c>
      <c r="E733" t="inlineStr">
        <is>
          <t>LOA</t>
        </is>
      </c>
      <c r="F733" t="inlineStr">
        <is>
          <t>2025-01-27</t>
        </is>
      </c>
      <c r="G733" s="4" t="n">
        <v>37807.6</v>
      </c>
      <c r="H733" s="4">
        <f>MAX(0,G733-SUMIFS('Paiements contrat'!$B:$B,'Paiements contrat'!$A:$A,A733))</f>
        <v/>
      </c>
      <c r="I733" s="4" t="n">
        <v>25609.60001421345</v>
      </c>
      <c r="J733" t="inlineStr">
        <is>
          <t>actif</t>
        </is>
      </c>
    </row>
    <row r="734">
      <c r="A734" t="inlineStr">
        <is>
          <t>CTR-00750</t>
        </is>
      </c>
      <c r="B734" t="inlineStr">
        <is>
          <t>CLI-01041</t>
        </is>
      </c>
      <c r="C734" t="inlineStr">
        <is>
          <t>Île-de-France</t>
        </is>
      </c>
      <c r="D734" t="inlineStr">
        <is>
          <t>bateau</t>
        </is>
      </c>
      <c r="E734" t="inlineStr">
        <is>
          <t>LOA</t>
        </is>
      </c>
      <c r="F734" t="inlineStr">
        <is>
          <t>2025-03-18</t>
        </is>
      </c>
      <c r="G734" s="4" t="n">
        <v>208758.97</v>
      </c>
      <c r="H734" s="4">
        <f>MAX(0,G734-SUMIFS('Paiements contrat'!$B:$B,'Paiements contrat'!$A:$A,A734))</f>
        <v/>
      </c>
      <c r="I734" s="4" t="n">
        <v>51806.85000000001</v>
      </c>
      <c r="J734" t="inlineStr">
        <is>
          <t>actif</t>
        </is>
      </c>
    </row>
    <row r="735">
      <c r="A735" t="inlineStr">
        <is>
          <t>CTR-00751</t>
        </is>
      </c>
      <c r="B735" t="inlineStr">
        <is>
          <t>CLI-00995</t>
        </is>
      </c>
      <c r="C735" t="inlineStr">
        <is>
          <t>Île-de-France</t>
        </is>
      </c>
      <c r="D735" t="inlineStr">
        <is>
          <t>materiel</t>
        </is>
      </c>
      <c r="E735" t="inlineStr">
        <is>
          <t>crédit-bail</t>
        </is>
      </c>
      <c r="F735" t="inlineStr">
        <is>
          <t>2024-09-08</t>
        </is>
      </c>
      <c r="G735" s="4" t="n">
        <v>62815.63</v>
      </c>
      <c r="H735" s="4">
        <f>MAX(0,G735-SUMIFS('Paiements contrat'!$B:$B,'Paiements contrat'!$A:$A,A735))</f>
        <v/>
      </c>
      <c r="I735" s="4" t="n">
        <v>18740.05</v>
      </c>
      <c r="J735" t="inlineStr">
        <is>
          <t>actif</t>
        </is>
      </c>
    </row>
    <row r="736">
      <c r="A736" t="inlineStr">
        <is>
          <t>CTR-00752</t>
        </is>
      </c>
      <c r="B736" t="inlineStr">
        <is>
          <t>CLI-01085</t>
        </is>
      </c>
      <c r="C736" t="inlineStr">
        <is>
          <t>Guadeloupe</t>
        </is>
      </c>
      <c r="D736" t="inlineStr">
        <is>
          <t>bateau</t>
        </is>
      </c>
      <c r="E736" t="inlineStr">
        <is>
          <t>LOA</t>
        </is>
      </c>
      <c r="F736" t="inlineStr">
        <is>
          <t>2025-08-10</t>
        </is>
      </c>
      <c r="G736" s="4" t="n">
        <v>22787.43</v>
      </c>
      <c r="H736" s="4">
        <f>MAX(0,G736-SUMIFS('Paiements contrat'!$B:$B,'Paiements contrat'!$A:$A,A736))</f>
        <v/>
      </c>
      <c r="I736" s="4" t="n">
        <v>9580.450000000001</v>
      </c>
      <c r="J736" t="inlineStr">
        <is>
          <t>actif</t>
        </is>
      </c>
    </row>
    <row r="737">
      <c r="A737" t="inlineStr">
        <is>
          <t>CTR-00753</t>
        </is>
      </c>
      <c r="B737" t="inlineStr">
        <is>
          <t>CLI-00030</t>
        </is>
      </c>
      <c r="C737" t="inlineStr">
        <is>
          <t>Île-de-France</t>
        </is>
      </c>
      <c r="D737" t="inlineStr">
        <is>
          <t>auto</t>
        </is>
      </c>
      <c r="E737" t="inlineStr">
        <is>
          <t>LLD</t>
        </is>
      </c>
      <c r="F737" t="inlineStr">
        <is>
          <t>2025-12-15</t>
        </is>
      </c>
      <c r="G737" s="4" t="n">
        <v>53687.46</v>
      </c>
      <c r="H737" s="4">
        <f>MAX(0,G737-SUMIFS('Paiements contrat'!$B:$B,'Paiements contrat'!$A:$A,A737))</f>
        <v/>
      </c>
      <c r="I737" s="4" t="n">
        <v>49670.65</v>
      </c>
      <c r="J737" t="inlineStr">
        <is>
          <t>actif</t>
        </is>
      </c>
    </row>
    <row r="738">
      <c r="A738" t="inlineStr">
        <is>
          <t>CTR-00754</t>
        </is>
      </c>
      <c r="B738" t="inlineStr">
        <is>
          <t>CLI-00321</t>
        </is>
      </c>
      <c r="C738" t="inlineStr">
        <is>
          <t>Guadeloupe</t>
        </is>
      </c>
      <c r="D738" t="inlineStr">
        <is>
          <t>materiel</t>
        </is>
      </c>
      <c r="E738" t="inlineStr">
        <is>
          <t>crédit-bail</t>
        </is>
      </c>
      <c r="F738" t="inlineStr">
        <is>
          <t>2024-10-03</t>
        </is>
      </c>
      <c r="G738" s="4" t="n">
        <v>182765.84</v>
      </c>
      <c r="H738" s="4">
        <f>MAX(0,G738-SUMIFS('Paiements contrat'!$B:$B,'Paiements contrat'!$A:$A,A738))</f>
        <v/>
      </c>
      <c r="I738" s="4" t="n">
        <v>62618.13</v>
      </c>
      <c r="J738" t="inlineStr">
        <is>
          <t>actif</t>
        </is>
      </c>
    </row>
    <row r="739">
      <c r="A739" t="inlineStr">
        <is>
          <t>CTR-00755</t>
        </is>
      </c>
      <c r="B739" t="inlineStr">
        <is>
          <t>CLI-00328</t>
        </is>
      </c>
      <c r="C739" t="inlineStr">
        <is>
          <t>Île-de-France</t>
        </is>
      </c>
      <c r="D739" t="inlineStr">
        <is>
          <t>auto</t>
        </is>
      </c>
      <c r="E739" t="inlineStr">
        <is>
          <t>LOA</t>
        </is>
      </c>
      <c r="F739" t="inlineStr">
        <is>
          <t>2024-10-12</t>
        </is>
      </c>
      <c r="G739" s="4" t="n">
        <v>12596.6</v>
      </c>
      <c r="H739" s="4">
        <f>MAX(0,G739-SUMIFS('Paiements contrat'!$B:$B,'Paiements contrat'!$A:$A,A739))</f>
        <v/>
      </c>
      <c r="I739" s="4" t="n">
        <v>2112.91</v>
      </c>
      <c r="J739" t="inlineStr">
        <is>
          <t>actif</t>
        </is>
      </c>
    </row>
    <row r="740">
      <c r="A740" t="inlineStr">
        <is>
          <t>CTR-00756</t>
        </is>
      </c>
      <c r="B740" t="inlineStr">
        <is>
          <t>CLI-01316</t>
        </is>
      </c>
      <c r="C740" t="inlineStr">
        <is>
          <t>Île-de-France</t>
        </is>
      </c>
      <c r="D740" t="inlineStr">
        <is>
          <t>bateau</t>
        </is>
      </c>
      <c r="E740" t="inlineStr">
        <is>
          <t>LOA</t>
        </is>
      </c>
      <c r="F740" t="inlineStr">
        <is>
          <t>2025-11-13</t>
        </is>
      </c>
      <c r="G740" s="4" t="n">
        <v>39846.29</v>
      </c>
      <c r="H740" s="4">
        <f>MAX(0,G740-SUMIFS('Paiements contrat'!$B:$B,'Paiements contrat'!$A:$A,A740))</f>
        <v/>
      </c>
      <c r="I740" s="4" t="n">
        <v>37409.24196943414</v>
      </c>
      <c r="J740" t="inlineStr">
        <is>
          <t>actif</t>
        </is>
      </c>
    </row>
    <row r="741">
      <c r="A741" t="inlineStr">
        <is>
          <t>CTR-00757</t>
        </is>
      </c>
      <c r="B741" t="inlineStr">
        <is>
          <t>CLI-00393</t>
        </is>
      </c>
      <c r="C741" t="inlineStr">
        <is>
          <t>Île-de-France</t>
        </is>
      </c>
      <c r="D741" t="inlineStr">
        <is>
          <t>auto</t>
        </is>
      </c>
      <c r="E741" t="inlineStr">
        <is>
          <t>LOA</t>
        </is>
      </c>
      <c r="F741" t="inlineStr">
        <is>
          <t>2024-12-25</t>
        </is>
      </c>
      <c r="G741" s="4" t="n">
        <v>61396.96</v>
      </c>
      <c r="H741" s="4">
        <f>MAX(0,G741-SUMIFS('Paiements contrat'!$B:$B,'Paiements contrat'!$A:$A,A741))</f>
        <v/>
      </c>
      <c r="I741" s="4" t="n">
        <v>39086.87</v>
      </c>
      <c r="J741" t="inlineStr">
        <is>
          <t>actif</t>
        </is>
      </c>
    </row>
    <row r="742">
      <c r="A742" t="inlineStr">
        <is>
          <t>CTR-00758</t>
        </is>
      </c>
      <c r="B742" t="inlineStr">
        <is>
          <t>CLI-01126</t>
        </is>
      </c>
      <c r="C742" t="inlineStr">
        <is>
          <t>Guyane</t>
        </is>
      </c>
      <c r="D742" t="inlineStr">
        <is>
          <t>auto</t>
        </is>
      </c>
      <c r="E742" t="inlineStr">
        <is>
          <t>LLD</t>
        </is>
      </c>
      <c r="F742" t="inlineStr">
        <is>
          <t>2025-12-07</t>
        </is>
      </c>
      <c r="G742" s="4" t="n">
        <v>35902.78</v>
      </c>
      <c r="H742" s="4">
        <f>MAX(0,G742-SUMIFS('Paiements contrat'!$B:$B,'Paiements contrat'!$A:$A,A742))</f>
        <v/>
      </c>
      <c r="I742" s="4" t="n">
        <v>33814.08</v>
      </c>
      <c r="J742" t="inlineStr">
        <is>
          <t>actif</t>
        </is>
      </c>
    </row>
    <row r="743">
      <c r="A743" t="inlineStr">
        <is>
          <t>CTR-00759</t>
        </is>
      </c>
      <c r="B743" t="inlineStr">
        <is>
          <t>CLI-01492</t>
        </is>
      </c>
      <c r="C743" t="inlineStr">
        <is>
          <t>Île-de-France</t>
        </is>
      </c>
      <c r="D743" t="inlineStr">
        <is>
          <t>auto</t>
        </is>
      </c>
      <c r="E743" t="inlineStr">
        <is>
          <t>LLD</t>
        </is>
      </c>
      <c r="F743" t="inlineStr">
        <is>
          <t>2025-01-04</t>
        </is>
      </c>
      <c r="G743" s="4" t="n">
        <v>45412.56</v>
      </c>
      <c r="H743" s="4">
        <f>MAX(0,G743-SUMIFS('Paiements contrat'!$B:$B,'Paiements contrat'!$A:$A,A743))</f>
        <v/>
      </c>
      <c r="I743" s="4" t="n">
        <v>31289.93</v>
      </c>
      <c r="J743" t="inlineStr">
        <is>
          <t>actif</t>
        </is>
      </c>
    </row>
    <row r="744">
      <c r="A744" t="inlineStr">
        <is>
          <t>CTR-00760</t>
        </is>
      </c>
      <c r="B744" t="inlineStr">
        <is>
          <t>CLI-01107</t>
        </is>
      </c>
      <c r="C744" t="inlineStr">
        <is>
          <t>Île-de-France</t>
        </is>
      </c>
      <c r="D744" t="inlineStr">
        <is>
          <t>materiel</t>
        </is>
      </c>
      <c r="E744" t="inlineStr">
        <is>
          <t>crédit-bail</t>
        </is>
      </c>
      <c r="F744" t="inlineStr">
        <is>
          <t>2025-01-13</t>
        </is>
      </c>
      <c r="G744" s="4" t="n">
        <v>146754.68</v>
      </c>
      <c r="H744" s="4">
        <f>MAX(0,G744-SUMIFS('Paiements contrat'!$B:$B,'Paiements contrat'!$A:$A,A744))</f>
        <v/>
      </c>
      <c r="I744" s="4" t="n">
        <v>63679.62</v>
      </c>
      <c r="J744" t="inlineStr">
        <is>
          <t>actif</t>
        </is>
      </c>
    </row>
    <row r="745">
      <c r="A745" t="inlineStr">
        <is>
          <t>CTR-00761</t>
        </is>
      </c>
      <c r="B745" t="inlineStr">
        <is>
          <t>CLI-01062</t>
        </is>
      </c>
      <c r="C745" t="inlineStr">
        <is>
          <t>Île-de-France</t>
        </is>
      </c>
      <c r="D745" t="inlineStr">
        <is>
          <t>materiel</t>
        </is>
      </c>
      <c r="E745" t="inlineStr">
        <is>
          <t>crédit-bail</t>
        </is>
      </c>
      <c r="F745" t="inlineStr">
        <is>
          <t>2024-08-13</t>
        </is>
      </c>
      <c r="G745" s="4" t="n">
        <v>64265.41</v>
      </c>
      <c r="H745" s="4">
        <f>MAX(0,G745-SUMIFS('Paiements contrat'!$B:$B,'Paiements contrat'!$A:$A,A745))</f>
        <v/>
      </c>
      <c r="I745" s="4" t="n">
        <v>35822.73</v>
      </c>
      <c r="J745" t="inlineStr">
        <is>
          <t>actif</t>
        </is>
      </c>
    </row>
    <row r="746">
      <c r="A746" t="inlineStr">
        <is>
          <t>CTR-00762</t>
        </is>
      </c>
      <c r="B746" t="inlineStr">
        <is>
          <t>CLI-01474</t>
        </is>
      </c>
      <c r="C746" t="inlineStr">
        <is>
          <t>Guadeloupe</t>
        </is>
      </c>
      <c r="D746" t="inlineStr">
        <is>
          <t>auto</t>
        </is>
      </c>
      <c r="E746" t="inlineStr">
        <is>
          <t>LLD</t>
        </is>
      </c>
      <c r="F746" t="inlineStr">
        <is>
          <t>2026-02-19</t>
        </is>
      </c>
      <c r="G746" s="4" t="n">
        <v>13970.54</v>
      </c>
      <c r="H746" s="4">
        <f>MAX(0,G746-SUMIFS('Paiements contrat'!$B:$B,'Paiements contrat'!$A:$A,A746))</f>
        <v/>
      </c>
      <c r="I746" s="4" t="n">
        <v>13970.54</v>
      </c>
      <c r="J746" t="inlineStr">
        <is>
          <t>contentieux</t>
        </is>
      </c>
    </row>
    <row r="747">
      <c r="A747" t="inlineStr">
        <is>
          <t>CTR-00763</t>
        </is>
      </c>
      <c r="B747" t="inlineStr">
        <is>
          <t>CLI-00843</t>
        </is>
      </c>
      <c r="C747" t="inlineStr">
        <is>
          <t>Île-de-France</t>
        </is>
      </c>
      <c r="D747" t="inlineStr">
        <is>
          <t>materiel</t>
        </is>
      </c>
      <c r="E747" t="inlineStr">
        <is>
          <t>crédit-bail</t>
        </is>
      </c>
      <c r="F747" t="inlineStr">
        <is>
          <t>2025-04-26</t>
        </is>
      </c>
      <c r="G747" s="4" t="n">
        <v>128182.43</v>
      </c>
      <c r="H747" s="4">
        <f>MAX(0,G747-SUMIFS('Paiements contrat'!$B:$B,'Paiements contrat'!$A:$A,A747))</f>
        <v/>
      </c>
      <c r="I747" s="4" t="n">
        <v>21402.57999999999</v>
      </c>
      <c r="J747" t="inlineStr">
        <is>
          <t>actif</t>
        </is>
      </c>
    </row>
    <row r="748">
      <c r="A748" t="inlineStr">
        <is>
          <t>CTR-00764</t>
        </is>
      </c>
      <c r="B748" t="inlineStr">
        <is>
          <t>CLI-00837</t>
        </is>
      </c>
      <c r="C748" t="inlineStr">
        <is>
          <t>Île-de-France</t>
        </is>
      </c>
      <c r="D748" t="inlineStr">
        <is>
          <t>auto</t>
        </is>
      </c>
      <c r="E748" t="inlineStr">
        <is>
          <t>LOA</t>
        </is>
      </c>
      <c r="F748" t="inlineStr">
        <is>
          <t>2025-01-10</t>
        </is>
      </c>
      <c r="G748" s="4" t="n">
        <v>59436.35</v>
      </c>
      <c r="H748" s="4">
        <f>MAX(0,G748-SUMIFS('Paiements contrat'!$B:$B,'Paiements contrat'!$A:$A,A748))</f>
        <v/>
      </c>
      <c r="I748" s="4" t="n">
        <v>39062.00999999999</v>
      </c>
      <c r="J748" t="inlineStr">
        <is>
          <t>actif</t>
        </is>
      </c>
    </row>
    <row r="749">
      <c r="A749" t="inlineStr">
        <is>
          <t>CTR-00765</t>
        </is>
      </c>
      <c r="B749" t="inlineStr">
        <is>
          <t>CLI-00239</t>
        </is>
      </c>
      <c r="C749" t="inlineStr">
        <is>
          <t>Guadeloupe</t>
        </is>
      </c>
      <c r="D749" t="inlineStr">
        <is>
          <t>auto</t>
        </is>
      </c>
      <c r="E749" t="inlineStr">
        <is>
          <t>LLD</t>
        </is>
      </c>
      <c r="F749" t="inlineStr">
        <is>
          <t>2025-04-18</t>
        </is>
      </c>
      <c r="G749" s="4" t="n">
        <v>40881.7</v>
      </c>
      <c r="H749" s="4">
        <f>MAX(0,G749-SUMIFS('Paiements contrat'!$B:$B,'Paiements contrat'!$A:$A,A749))</f>
        <v/>
      </c>
      <c r="I749" s="4" t="n">
        <v>35256.86</v>
      </c>
      <c r="J749" t="inlineStr">
        <is>
          <t>actif</t>
        </is>
      </c>
    </row>
    <row r="750">
      <c r="A750" t="inlineStr">
        <is>
          <t>CTR-00766</t>
        </is>
      </c>
      <c r="B750" t="inlineStr">
        <is>
          <t>CLI-00803</t>
        </is>
      </c>
      <c r="C750" t="inlineStr">
        <is>
          <t>Martinique</t>
        </is>
      </c>
      <c r="D750" t="inlineStr">
        <is>
          <t>materiel</t>
        </is>
      </c>
      <c r="E750" t="inlineStr">
        <is>
          <t>crédit-bail</t>
        </is>
      </c>
      <c r="F750" t="inlineStr">
        <is>
          <t>2024-10-20</t>
        </is>
      </c>
      <c r="G750" s="4" t="n">
        <v>34923.34</v>
      </c>
      <c r="H750" s="4">
        <f>MAX(0,G750-SUMIFS('Paiements contrat'!$B:$B,'Paiements contrat'!$A:$A,A750))</f>
        <v/>
      </c>
      <c r="I750" s="4" t="n">
        <v>19420.53</v>
      </c>
      <c r="J750" t="inlineStr">
        <is>
          <t>actif</t>
        </is>
      </c>
    </row>
    <row r="751">
      <c r="A751" t="inlineStr">
        <is>
          <t>CTR-00767</t>
        </is>
      </c>
      <c r="B751" t="inlineStr">
        <is>
          <t>CLI-00994</t>
        </is>
      </c>
      <c r="C751" t="inlineStr">
        <is>
          <t>Île-de-France</t>
        </is>
      </c>
      <c r="D751" t="inlineStr">
        <is>
          <t>auto</t>
        </is>
      </c>
      <c r="E751" t="inlineStr">
        <is>
          <t>LOA</t>
        </is>
      </c>
      <c r="F751" t="inlineStr">
        <is>
          <t>2025-01-10</t>
        </is>
      </c>
      <c r="G751" s="4" t="n">
        <v>61455.49</v>
      </c>
      <c r="H751" s="4">
        <f>MAX(0,G751-SUMIFS('Paiements contrat'!$B:$B,'Paiements contrat'!$A:$A,A751))</f>
        <v/>
      </c>
      <c r="I751" s="4" t="n">
        <v>45693.07</v>
      </c>
      <c r="J751" t="inlineStr">
        <is>
          <t>actif</t>
        </is>
      </c>
    </row>
    <row r="752">
      <c r="A752" t="inlineStr">
        <is>
          <t>CTR-00768</t>
        </is>
      </c>
      <c r="B752" t="inlineStr">
        <is>
          <t>CLI-00292</t>
        </is>
      </c>
      <c r="C752" t="inlineStr">
        <is>
          <t>Île-de-France</t>
        </is>
      </c>
      <c r="D752" t="inlineStr">
        <is>
          <t>auto</t>
        </is>
      </c>
      <c r="E752" t="inlineStr">
        <is>
          <t>LOA</t>
        </is>
      </c>
      <c r="F752" t="inlineStr">
        <is>
          <t>2025-07-10</t>
        </is>
      </c>
      <c r="G752" s="4" t="n">
        <v>13669.98</v>
      </c>
      <c r="H752" s="4">
        <f>MAX(0,G752-SUMIFS('Paiements contrat'!$B:$B,'Paiements contrat'!$A:$A,A752))</f>
        <v/>
      </c>
      <c r="I752" s="4" t="n">
        <v>10929.15</v>
      </c>
      <c r="J752" t="inlineStr">
        <is>
          <t>actif</t>
        </is>
      </c>
    </row>
    <row r="753">
      <c r="A753" t="inlineStr">
        <is>
          <t>CTR-00769</t>
        </is>
      </c>
      <c r="B753" t="inlineStr">
        <is>
          <t>CLI-00574</t>
        </is>
      </c>
      <c r="C753" t="inlineStr">
        <is>
          <t>Martinique</t>
        </is>
      </c>
      <c r="D753" t="inlineStr">
        <is>
          <t>materiel</t>
        </is>
      </c>
      <c r="E753" t="inlineStr">
        <is>
          <t>crédit-bail</t>
        </is>
      </c>
      <c r="F753" t="inlineStr">
        <is>
          <t>2025-01-09</t>
        </is>
      </c>
      <c r="G753" s="4" t="n">
        <v>93498.44</v>
      </c>
      <c r="H753" s="4">
        <f>MAX(0,G753-SUMIFS('Paiements contrat'!$B:$B,'Paiements contrat'!$A:$A,A753))</f>
        <v/>
      </c>
      <c r="I753" s="4" t="n">
        <v>61609.02</v>
      </c>
      <c r="J753" t="inlineStr">
        <is>
          <t>actif</t>
        </is>
      </c>
    </row>
    <row r="754">
      <c r="A754" t="inlineStr">
        <is>
          <t>CTR-00770</t>
        </is>
      </c>
      <c r="B754" t="inlineStr">
        <is>
          <t>CLI-01133</t>
        </is>
      </c>
      <c r="C754" t="inlineStr">
        <is>
          <t>Île-de-France</t>
        </is>
      </c>
      <c r="D754" t="inlineStr">
        <is>
          <t>auto</t>
        </is>
      </c>
      <c r="E754" t="inlineStr">
        <is>
          <t>LOA</t>
        </is>
      </c>
      <c r="F754" t="inlineStr">
        <is>
          <t>2025-01-03</t>
        </is>
      </c>
      <c r="G754" s="4" t="n">
        <v>50101.9</v>
      </c>
      <c r="H754" s="4">
        <f>MAX(0,G754-SUMIFS('Paiements contrat'!$B:$B,'Paiements contrat'!$A:$A,A754))</f>
        <v/>
      </c>
      <c r="I754" s="4" t="n">
        <v>18434.33853362385</v>
      </c>
      <c r="J754" t="inlineStr">
        <is>
          <t>contentieux</t>
        </is>
      </c>
    </row>
    <row r="755">
      <c r="A755" t="inlineStr">
        <is>
          <t>CTR-00771</t>
        </is>
      </c>
      <c r="B755" t="inlineStr">
        <is>
          <t>CLI-00258</t>
        </is>
      </c>
      <c r="C755" t="inlineStr">
        <is>
          <t>Île-de-France</t>
        </is>
      </c>
      <c r="D755" t="inlineStr">
        <is>
          <t>auto</t>
        </is>
      </c>
      <c r="E755" t="inlineStr">
        <is>
          <t>LOA</t>
        </is>
      </c>
      <c r="F755" t="inlineStr">
        <is>
          <t>2024-08-11</t>
        </is>
      </c>
      <c r="G755" s="4" t="n">
        <v>45324.19</v>
      </c>
      <c r="H755" s="4">
        <f>MAX(0,G755-SUMIFS('Paiements contrat'!$B:$B,'Paiements contrat'!$A:$A,A755))</f>
        <v/>
      </c>
      <c r="I755" s="4" t="n">
        <v>20541.89</v>
      </c>
      <c r="J755" t="inlineStr">
        <is>
          <t>actif</t>
        </is>
      </c>
    </row>
    <row r="756">
      <c r="A756" t="inlineStr">
        <is>
          <t>CTR-00772</t>
        </is>
      </c>
      <c r="B756" t="inlineStr">
        <is>
          <t>CLI-01482</t>
        </is>
      </c>
      <c r="C756" t="inlineStr">
        <is>
          <t>Île-de-France</t>
        </is>
      </c>
      <c r="D756" t="inlineStr">
        <is>
          <t>bateau</t>
        </is>
      </c>
      <c r="E756" t="inlineStr">
        <is>
          <t>LOA</t>
        </is>
      </c>
      <c r="F756" t="inlineStr">
        <is>
          <t>2025-12-24</t>
        </is>
      </c>
      <c r="G756" s="4" t="n">
        <v>108173.04</v>
      </c>
      <c r="H756" s="4">
        <f>MAX(0,G756-SUMIFS('Paiements contrat'!$B:$B,'Paiements contrat'!$A:$A,A756))</f>
        <v/>
      </c>
      <c r="I756" s="4" t="n">
        <v>96535.79999999999</v>
      </c>
      <c r="J756" t="inlineStr">
        <is>
          <t>actif</t>
        </is>
      </c>
    </row>
    <row r="757">
      <c r="A757" t="inlineStr">
        <is>
          <t>CTR-00773</t>
        </is>
      </c>
      <c r="B757" t="inlineStr">
        <is>
          <t>CLI-00962</t>
        </is>
      </c>
      <c r="C757" t="inlineStr">
        <is>
          <t>Île-de-France</t>
        </is>
      </c>
      <c r="D757" t="inlineStr">
        <is>
          <t>auto</t>
        </is>
      </c>
      <c r="E757" t="inlineStr">
        <is>
          <t>LLD</t>
        </is>
      </c>
      <c r="F757" t="inlineStr">
        <is>
          <t>2025-09-24</t>
        </is>
      </c>
      <c r="G757" s="4" t="n">
        <v>39620.81</v>
      </c>
      <c r="H757" s="4">
        <f>MAX(0,G757-SUMIFS('Paiements contrat'!$B:$B,'Paiements contrat'!$A:$A,A757))</f>
        <v/>
      </c>
      <c r="I757" s="4" t="n">
        <v>32153.37</v>
      </c>
      <c r="J757" t="inlineStr">
        <is>
          <t>actif</t>
        </is>
      </c>
    </row>
    <row r="758">
      <c r="A758" t="inlineStr">
        <is>
          <t>CTR-00774</t>
        </is>
      </c>
      <c r="B758" t="inlineStr">
        <is>
          <t>CLI-01112</t>
        </is>
      </c>
      <c r="C758" t="inlineStr">
        <is>
          <t>Île-de-France</t>
        </is>
      </c>
      <c r="D758" t="inlineStr">
        <is>
          <t>materiel</t>
        </is>
      </c>
      <c r="E758" t="inlineStr">
        <is>
          <t>crédit-bail</t>
        </is>
      </c>
      <c r="F758" t="inlineStr">
        <is>
          <t>2026-02-05</t>
        </is>
      </c>
      <c r="G758" s="4" t="n">
        <v>78424.46000000001</v>
      </c>
      <c r="H758" s="4">
        <f>MAX(0,G758-SUMIFS('Paiements contrat'!$B:$B,'Paiements contrat'!$A:$A,A758))</f>
        <v/>
      </c>
      <c r="I758" s="4" t="n">
        <v>76025.85000000001</v>
      </c>
      <c r="J758" t="inlineStr">
        <is>
          <t>actif</t>
        </is>
      </c>
    </row>
    <row r="759">
      <c r="A759" t="inlineStr">
        <is>
          <t>CTR-00775</t>
        </is>
      </c>
      <c r="B759" t="inlineStr">
        <is>
          <t>CLI-00992</t>
        </is>
      </c>
      <c r="C759" t="inlineStr">
        <is>
          <t>Île-de-France</t>
        </is>
      </c>
      <c r="D759" t="inlineStr">
        <is>
          <t>materiel</t>
        </is>
      </c>
      <c r="E759" t="inlineStr">
        <is>
          <t>crédit-bail</t>
        </is>
      </c>
      <c r="F759" t="inlineStr">
        <is>
          <t>2024-07-19</t>
        </is>
      </c>
      <c r="G759" s="4" t="n">
        <v>42820.2</v>
      </c>
      <c r="H759" s="4">
        <f>MAX(0,G759-SUMIFS('Paiements contrat'!$B:$B,'Paiements contrat'!$A:$A,A759))</f>
        <v/>
      </c>
      <c r="I759" s="4" t="n">
        <v>33060.56847309065</v>
      </c>
      <c r="J759" t="inlineStr">
        <is>
          <t>actif</t>
        </is>
      </c>
    </row>
    <row r="760">
      <c r="A760" t="inlineStr">
        <is>
          <t>CTR-00776</t>
        </is>
      </c>
      <c r="B760" t="inlineStr">
        <is>
          <t>CLI-01173</t>
        </is>
      </c>
      <c r="C760" t="inlineStr">
        <is>
          <t>Île-de-France</t>
        </is>
      </c>
      <c r="D760" t="inlineStr">
        <is>
          <t>bateau</t>
        </is>
      </c>
      <c r="E760" t="inlineStr">
        <is>
          <t>LOA</t>
        </is>
      </c>
      <c r="F760" t="inlineStr">
        <is>
          <t>2024-12-17</t>
        </is>
      </c>
      <c r="G760" s="4" t="n">
        <v>240464.37</v>
      </c>
      <c r="H760" s="4">
        <f>MAX(0,G760-SUMIFS('Paiements contrat'!$B:$B,'Paiements contrat'!$A:$A,A760))</f>
        <v/>
      </c>
      <c r="I760" s="4" t="n">
        <v>103369.92</v>
      </c>
      <c r="J760" t="inlineStr">
        <is>
          <t>actif</t>
        </is>
      </c>
    </row>
    <row r="761">
      <c r="A761" t="inlineStr">
        <is>
          <t>CTR-00777</t>
        </is>
      </c>
      <c r="B761" t="inlineStr">
        <is>
          <t>CLI-01381</t>
        </is>
      </c>
      <c r="C761" t="inlineStr">
        <is>
          <t>Réunion</t>
        </is>
      </c>
      <c r="D761" t="inlineStr">
        <is>
          <t>bateau</t>
        </is>
      </c>
      <c r="E761" t="inlineStr">
        <is>
          <t>LOA</t>
        </is>
      </c>
      <c r="F761" t="inlineStr">
        <is>
          <t>2025-05-26</t>
        </is>
      </c>
      <c r="G761" s="4" t="n">
        <v>62091.9</v>
      </c>
      <c r="H761" s="4">
        <f>MAX(0,G761-SUMIFS('Paiements contrat'!$B:$B,'Paiements contrat'!$A:$A,A761))</f>
        <v/>
      </c>
      <c r="I761" s="4" t="n">
        <v>47984.60000000001</v>
      </c>
      <c r="J761" t="inlineStr">
        <is>
          <t>actif</t>
        </is>
      </c>
    </row>
    <row r="762">
      <c r="A762" t="inlineStr">
        <is>
          <t>CTR-00778</t>
        </is>
      </c>
      <c r="B762" t="inlineStr">
        <is>
          <t>CLI-01390</t>
        </is>
      </c>
      <c r="C762" t="inlineStr">
        <is>
          <t>Île-de-France</t>
        </is>
      </c>
      <c r="D762" t="inlineStr">
        <is>
          <t>auto</t>
        </is>
      </c>
      <c r="E762" t="inlineStr">
        <is>
          <t>LOA</t>
        </is>
      </c>
      <c r="F762" t="inlineStr">
        <is>
          <t>2024-08-21</t>
        </is>
      </c>
      <c r="G762" s="4" t="n">
        <v>74087.23</v>
      </c>
      <c r="H762" s="4">
        <f>MAX(0,G762-SUMIFS('Paiements contrat'!$B:$B,'Paiements contrat'!$A:$A,A762))</f>
        <v/>
      </c>
      <c r="I762" s="4" t="n">
        <v>41893.17999999999</v>
      </c>
      <c r="J762" t="inlineStr">
        <is>
          <t>actif</t>
        </is>
      </c>
    </row>
    <row r="763">
      <c r="A763" t="inlineStr">
        <is>
          <t>CTR-00779</t>
        </is>
      </c>
      <c r="B763" t="inlineStr">
        <is>
          <t>CLI-00043</t>
        </is>
      </c>
      <c r="C763" t="inlineStr">
        <is>
          <t>Île-de-France</t>
        </is>
      </c>
      <c r="D763" t="inlineStr">
        <is>
          <t>auto</t>
        </is>
      </c>
      <c r="E763" t="inlineStr">
        <is>
          <t>LLD</t>
        </is>
      </c>
      <c r="F763" t="inlineStr">
        <is>
          <t>2024-04-10</t>
        </is>
      </c>
      <c r="G763" s="4" t="n">
        <v>69585.48</v>
      </c>
      <c r="H763" s="4">
        <f>MAX(0,G763-SUMIFS('Paiements contrat'!$B:$B,'Paiements contrat'!$A:$A,A763))</f>
        <v/>
      </c>
      <c r="I763" s="4" t="n">
        <v>40350.39</v>
      </c>
      <c r="J763" t="inlineStr">
        <is>
          <t>actif</t>
        </is>
      </c>
    </row>
    <row r="764">
      <c r="A764" t="inlineStr">
        <is>
          <t>CTR-00780</t>
        </is>
      </c>
      <c r="B764" t="inlineStr">
        <is>
          <t>CLI-00660</t>
        </is>
      </c>
      <c r="C764" t="inlineStr">
        <is>
          <t>Île-de-France</t>
        </is>
      </c>
      <c r="D764" t="inlineStr">
        <is>
          <t>auto</t>
        </is>
      </c>
      <c r="E764" t="inlineStr">
        <is>
          <t>LOA</t>
        </is>
      </c>
      <c r="F764" t="inlineStr">
        <is>
          <t>2025-08-14</t>
        </is>
      </c>
      <c r="G764" s="4" t="n">
        <v>48721.21</v>
      </c>
      <c r="H764" s="4">
        <f>MAX(0,G764-SUMIFS('Paiements contrat'!$B:$B,'Paiements contrat'!$A:$A,A764))</f>
        <v/>
      </c>
      <c r="I764" s="4" t="n">
        <v>24789.44</v>
      </c>
      <c r="J764" t="inlineStr">
        <is>
          <t>actif</t>
        </is>
      </c>
    </row>
    <row r="765">
      <c r="A765" t="inlineStr">
        <is>
          <t>CTR-00781</t>
        </is>
      </c>
      <c r="B765" t="inlineStr">
        <is>
          <t>CLI-01027</t>
        </is>
      </c>
      <c r="C765" t="inlineStr">
        <is>
          <t>Île-de-France</t>
        </is>
      </c>
      <c r="D765" t="inlineStr">
        <is>
          <t>auto</t>
        </is>
      </c>
      <c r="E765" t="inlineStr">
        <is>
          <t>LLD</t>
        </is>
      </c>
      <c r="F765" t="inlineStr">
        <is>
          <t>2024-11-17</t>
        </is>
      </c>
      <c r="G765" s="4" t="n">
        <v>20128.53</v>
      </c>
      <c r="H765" s="4">
        <f>MAX(0,G765-SUMIFS('Paiements contrat'!$B:$B,'Paiements contrat'!$A:$A,A765))</f>
        <v/>
      </c>
      <c r="I765" s="4" t="n">
        <v>8736.551029539929</v>
      </c>
      <c r="J765" t="inlineStr">
        <is>
          <t>actif</t>
        </is>
      </c>
    </row>
    <row r="766">
      <c r="A766" t="inlineStr">
        <is>
          <t>CTR-00782</t>
        </is>
      </c>
      <c r="B766" t="inlineStr">
        <is>
          <t>CLI-01379</t>
        </is>
      </c>
      <c r="C766" t="inlineStr">
        <is>
          <t>Guadeloupe</t>
        </is>
      </c>
      <c r="D766" t="inlineStr">
        <is>
          <t>auto</t>
        </is>
      </c>
      <c r="E766" t="inlineStr">
        <is>
          <t>LLD</t>
        </is>
      </c>
      <c r="F766" t="inlineStr">
        <is>
          <t>2025-12-02</t>
        </is>
      </c>
      <c r="G766" s="4" t="n">
        <v>67083.21000000001</v>
      </c>
      <c r="H766" s="4">
        <f>MAX(0,G766-SUMIFS('Paiements contrat'!$B:$B,'Paiements contrat'!$A:$A,A766))</f>
        <v/>
      </c>
      <c r="I766" s="4" t="n">
        <v>64909.78000000001</v>
      </c>
      <c r="J766" t="inlineStr">
        <is>
          <t>actif</t>
        </is>
      </c>
    </row>
    <row r="767">
      <c r="A767" t="inlineStr">
        <is>
          <t>CTR-00783</t>
        </is>
      </c>
      <c r="B767" t="inlineStr">
        <is>
          <t>CLI-00208</t>
        </is>
      </c>
      <c r="C767" t="inlineStr">
        <is>
          <t>Martinique</t>
        </is>
      </c>
      <c r="D767" t="inlineStr">
        <is>
          <t>auto</t>
        </is>
      </c>
      <c r="E767" t="inlineStr">
        <is>
          <t>LLD</t>
        </is>
      </c>
      <c r="F767" t="inlineStr">
        <is>
          <t>2024-05-27</t>
        </is>
      </c>
      <c r="G767" s="4" t="n">
        <v>24921.99</v>
      </c>
      <c r="H767" s="4">
        <f>MAX(0,G767-SUMIFS('Paiements contrat'!$B:$B,'Paiements contrat'!$A:$A,A767))</f>
        <v/>
      </c>
      <c r="I767" s="4" t="n">
        <v>18404.36782391803</v>
      </c>
      <c r="J767" t="inlineStr">
        <is>
          <t>actif</t>
        </is>
      </c>
    </row>
    <row r="768">
      <c r="A768" t="inlineStr">
        <is>
          <t>CTR-00784</t>
        </is>
      </c>
      <c r="B768" t="inlineStr">
        <is>
          <t>CLI-01383</t>
        </is>
      </c>
      <c r="C768" t="inlineStr">
        <is>
          <t>Île-de-France</t>
        </is>
      </c>
      <c r="D768" t="inlineStr">
        <is>
          <t>materiel</t>
        </is>
      </c>
      <c r="E768" t="inlineStr">
        <is>
          <t>crédit-bail</t>
        </is>
      </c>
      <c r="F768" t="inlineStr">
        <is>
          <t>2025-05-18</t>
        </is>
      </c>
      <c r="G768" s="4" t="n">
        <v>64607.58</v>
      </c>
      <c r="H768" s="4">
        <f>MAX(0,G768-SUMIFS('Paiements contrat'!$B:$B,'Paiements contrat'!$A:$A,A768))</f>
        <v/>
      </c>
      <c r="I768" s="4" t="n">
        <v>16340.28</v>
      </c>
      <c r="J768" t="inlineStr">
        <is>
          <t>actif</t>
        </is>
      </c>
    </row>
    <row r="769">
      <c r="A769" t="inlineStr">
        <is>
          <t>CTR-00785</t>
        </is>
      </c>
      <c r="B769" t="inlineStr">
        <is>
          <t>CLI-00093</t>
        </is>
      </c>
      <c r="C769" t="inlineStr">
        <is>
          <t>Réunion</t>
        </is>
      </c>
      <c r="D769" t="inlineStr">
        <is>
          <t>materiel</t>
        </is>
      </c>
      <c r="E769" t="inlineStr">
        <is>
          <t>crédit-bail</t>
        </is>
      </c>
      <c r="F769" t="inlineStr">
        <is>
          <t>2025-09-15</t>
        </is>
      </c>
      <c r="G769" s="4" t="n">
        <v>133307.13</v>
      </c>
      <c r="H769" s="4">
        <f>MAX(0,G769-SUMIFS('Paiements contrat'!$B:$B,'Paiements contrat'!$A:$A,A769))</f>
        <v/>
      </c>
      <c r="I769" s="4" t="n">
        <v>107692.85</v>
      </c>
      <c r="J769" t="inlineStr">
        <is>
          <t>actif</t>
        </is>
      </c>
    </row>
    <row r="770">
      <c r="A770" t="inlineStr">
        <is>
          <t>CTR-00786</t>
        </is>
      </c>
      <c r="B770" t="inlineStr">
        <is>
          <t>CLI-01328</t>
        </is>
      </c>
      <c r="C770" t="inlineStr">
        <is>
          <t>Île-de-France</t>
        </is>
      </c>
      <c r="D770" t="inlineStr">
        <is>
          <t>bateau</t>
        </is>
      </c>
      <c r="E770" t="inlineStr">
        <is>
          <t>LOA</t>
        </is>
      </c>
      <c r="F770" t="inlineStr">
        <is>
          <t>2025-08-17</t>
        </is>
      </c>
      <c r="G770" s="4" t="n">
        <v>136580.88</v>
      </c>
      <c r="H770" s="4">
        <f>MAX(0,G770-SUMIFS('Paiements contrat'!$B:$B,'Paiements contrat'!$A:$A,A770))</f>
        <v/>
      </c>
      <c r="I770" s="4" t="n">
        <v>110859.04</v>
      </c>
      <c r="J770" t="inlineStr">
        <is>
          <t>actif</t>
        </is>
      </c>
    </row>
    <row r="771">
      <c r="A771" t="inlineStr">
        <is>
          <t>CTR-00787</t>
        </is>
      </c>
      <c r="B771" t="inlineStr">
        <is>
          <t>CLI-00211</t>
        </is>
      </c>
      <c r="C771" t="inlineStr">
        <is>
          <t>Île-de-France</t>
        </is>
      </c>
      <c r="D771" t="inlineStr">
        <is>
          <t>materiel</t>
        </is>
      </c>
      <c r="E771" t="inlineStr">
        <is>
          <t>crédit-bail</t>
        </is>
      </c>
      <c r="F771" t="inlineStr">
        <is>
          <t>2024-12-09</t>
        </is>
      </c>
      <c r="G771" s="4" t="n">
        <v>62386.27</v>
      </c>
      <c r="H771" s="4">
        <f>MAX(0,G771-SUMIFS('Paiements contrat'!$B:$B,'Paiements contrat'!$A:$A,A771))</f>
        <v/>
      </c>
      <c r="I771" s="4" t="n">
        <v>10334.21999999999</v>
      </c>
      <c r="J771" t="inlineStr">
        <is>
          <t>actif</t>
        </is>
      </c>
    </row>
    <row r="772">
      <c r="A772" t="inlineStr">
        <is>
          <t>CTR-00788</t>
        </is>
      </c>
      <c r="B772" t="inlineStr">
        <is>
          <t>CLI-00587</t>
        </is>
      </c>
      <c r="C772" t="inlineStr">
        <is>
          <t>Île-de-France</t>
        </is>
      </c>
      <c r="D772" t="inlineStr">
        <is>
          <t>auto</t>
        </is>
      </c>
      <c r="E772" t="inlineStr">
        <is>
          <t>LOA</t>
        </is>
      </c>
      <c r="F772" t="inlineStr">
        <is>
          <t>2024-06-25</t>
        </is>
      </c>
      <c r="G772" s="4" t="n">
        <v>26742.7</v>
      </c>
      <c r="H772" s="4">
        <f>MAX(0,G772-SUMIFS('Paiements contrat'!$B:$B,'Paiements contrat'!$A:$A,A772))</f>
        <v/>
      </c>
      <c r="I772" s="4" t="n">
        <v>6896.740000000002</v>
      </c>
      <c r="J772" t="inlineStr">
        <is>
          <t>actif</t>
        </is>
      </c>
    </row>
    <row r="773">
      <c r="A773" t="inlineStr">
        <is>
          <t>CTR-00789</t>
        </is>
      </c>
      <c r="B773" t="inlineStr">
        <is>
          <t>CLI-00589</t>
        </is>
      </c>
      <c r="C773" t="inlineStr">
        <is>
          <t>Île-de-France</t>
        </is>
      </c>
      <c r="D773" t="inlineStr">
        <is>
          <t>auto</t>
        </is>
      </c>
      <c r="E773" t="inlineStr">
        <is>
          <t>LOA</t>
        </is>
      </c>
      <c r="F773" t="inlineStr">
        <is>
          <t>2025-06-10</t>
        </is>
      </c>
      <c r="G773" s="4" t="n">
        <v>70454.53</v>
      </c>
      <c r="H773" s="4">
        <f>MAX(0,G773-SUMIFS('Paiements contrat'!$B:$B,'Paiements contrat'!$A:$A,A773))</f>
        <v/>
      </c>
      <c r="I773" s="4" t="n">
        <v>44909.54191121698</v>
      </c>
      <c r="J773" t="inlineStr">
        <is>
          <t>actif</t>
        </is>
      </c>
    </row>
    <row r="774">
      <c r="A774" t="inlineStr">
        <is>
          <t>CTR-00790</t>
        </is>
      </c>
      <c r="B774" t="inlineStr">
        <is>
          <t>CLI-00270</t>
        </is>
      </c>
      <c r="C774" t="inlineStr">
        <is>
          <t>Île-de-France</t>
        </is>
      </c>
      <c r="D774" t="inlineStr">
        <is>
          <t>materiel</t>
        </is>
      </c>
      <c r="E774" t="inlineStr">
        <is>
          <t>crédit-bail</t>
        </is>
      </c>
      <c r="F774" t="inlineStr">
        <is>
          <t>2025-11-08</t>
        </is>
      </c>
      <c r="G774" s="4" t="n">
        <v>113430.73</v>
      </c>
      <c r="H774" s="4">
        <f>MAX(0,G774-SUMIFS('Paiements contrat'!$B:$B,'Paiements contrat'!$A:$A,A774))</f>
        <v/>
      </c>
      <c r="I774" s="4" t="n">
        <v>99771.42999999999</v>
      </c>
      <c r="J774" t="inlineStr">
        <is>
          <t>actif</t>
        </is>
      </c>
    </row>
    <row r="775">
      <c r="A775" t="inlineStr">
        <is>
          <t>CTR-00791</t>
        </is>
      </c>
      <c r="B775" t="inlineStr">
        <is>
          <t>CLI-00066</t>
        </is>
      </c>
      <c r="C775" t="inlineStr">
        <is>
          <t>Réunion</t>
        </is>
      </c>
      <c r="D775" t="inlineStr">
        <is>
          <t>auto</t>
        </is>
      </c>
      <c r="E775" t="inlineStr">
        <is>
          <t>LOA</t>
        </is>
      </c>
      <c r="F775" t="inlineStr">
        <is>
          <t>2025-12-19</t>
        </is>
      </c>
      <c r="G775" s="4" t="n">
        <v>64351.04</v>
      </c>
      <c r="H775" s="4">
        <f>MAX(0,G775-SUMIFS('Paiements contrat'!$B:$B,'Paiements contrat'!$A:$A,A775))</f>
        <v/>
      </c>
      <c r="I775" s="4" t="n">
        <v>56663.58</v>
      </c>
      <c r="J775" t="inlineStr">
        <is>
          <t>actif</t>
        </is>
      </c>
    </row>
    <row r="776">
      <c r="A776" t="inlineStr">
        <is>
          <t>CTR-00792</t>
        </is>
      </c>
      <c r="B776" t="inlineStr">
        <is>
          <t>CLI-00778</t>
        </is>
      </c>
      <c r="C776" t="inlineStr">
        <is>
          <t>Guadeloupe</t>
        </is>
      </c>
      <c r="D776" t="inlineStr">
        <is>
          <t>auto</t>
        </is>
      </c>
      <c r="E776" t="inlineStr">
        <is>
          <t>LOA</t>
        </is>
      </c>
      <c r="F776" t="inlineStr">
        <is>
          <t>2025-05-19</t>
        </is>
      </c>
      <c r="G776" s="4" t="n">
        <v>37748.86</v>
      </c>
      <c r="H776" s="4">
        <f>MAX(0,G776-SUMIFS('Paiements contrat'!$B:$B,'Paiements contrat'!$A:$A,A776))</f>
        <v/>
      </c>
      <c r="I776" s="4" t="n">
        <v>27930.32</v>
      </c>
      <c r="J776" t="inlineStr">
        <is>
          <t>contentieux</t>
        </is>
      </c>
    </row>
    <row r="777">
      <c r="A777" t="inlineStr">
        <is>
          <t>CTR-00793</t>
        </is>
      </c>
      <c r="B777" t="inlineStr">
        <is>
          <t>CLI-00633</t>
        </is>
      </c>
      <c r="C777" t="inlineStr">
        <is>
          <t>Martinique</t>
        </is>
      </c>
      <c r="D777" t="inlineStr">
        <is>
          <t>auto</t>
        </is>
      </c>
      <c r="E777" t="inlineStr">
        <is>
          <t>LLD</t>
        </is>
      </c>
      <c r="F777" t="inlineStr">
        <is>
          <t>2025-12-27</t>
        </is>
      </c>
      <c r="G777" s="4" t="n">
        <v>20904.37</v>
      </c>
      <c r="H777" s="4">
        <f>MAX(0,G777-SUMIFS('Paiements contrat'!$B:$B,'Paiements contrat'!$A:$A,A777))</f>
        <v/>
      </c>
      <c r="I777" s="4" t="n">
        <v>19233.03</v>
      </c>
      <c r="J777" t="inlineStr">
        <is>
          <t>actif</t>
        </is>
      </c>
    </row>
    <row r="778">
      <c r="A778" t="inlineStr">
        <is>
          <t>CTR-00794</t>
        </is>
      </c>
      <c r="B778" t="inlineStr">
        <is>
          <t>CLI-00323</t>
        </is>
      </c>
      <c r="C778" t="inlineStr">
        <is>
          <t>Réunion</t>
        </is>
      </c>
      <c r="D778" t="inlineStr">
        <is>
          <t>auto</t>
        </is>
      </c>
      <c r="E778" t="inlineStr">
        <is>
          <t>LOA</t>
        </is>
      </c>
      <c r="F778" t="inlineStr">
        <is>
          <t>2024-06-05</t>
        </is>
      </c>
      <c r="G778" s="4" t="n">
        <v>23310.38</v>
      </c>
      <c r="H778" s="4">
        <f>MAX(0,G778-SUMIFS('Paiements contrat'!$B:$B,'Paiements contrat'!$A:$A,A778))</f>
        <v/>
      </c>
      <c r="I778" s="4" t="n">
        <v>11210.41</v>
      </c>
      <c r="J778" t="inlineStr">
        <is>
          <t>actif</t>
        </is>
      </c>
    </row>
    <row r="779">
      <c r="A779" t="inlineStr">
        <is>
          <t>CTR-00795</t>
        </is>
      </c>
      <c r="B779" t="inlineStr">
        <is>
          <t>CLI-00938</t>
        </is>
      </c>
      <c r="C779" t="inlineStr">
        <is>
          <t>Réunion</t>
        </is>
      </c>
      <c r="D779" t="inlineStr">
        <is>
          <t>auto</t>
        </is>
      </c>
      <c r="E779" t="inlineStr">
        <is>
          <t>LOA</t>
        </is>
      </c>
      <c r="F779" t="inlineStr">
        <is>
          <t>2025-09-05</t>
        </is>
      </c>
      <c r="G779" s="4" t="n">
        <v>14080.76</v>
      </c>
      <c r="H779" s="4">
        <f>MAX(0,G779-SUMIFS('Paiements contrat'!$B:$B,'Paiements contrat'!$A:$A,A779))</f>
        <v/>
      </c>
      <c r="I779" s="4" t="n">
        <v>11867.14</v>
      </c>
      <c r="J779" t="inlineStr">
        <is>
          <t>actif</t>
        </is>
      </c>
    </row>
    <row r="780">
      <c r="A780" t="inlineStr">
        <is>
          <t>CTR-00796</t>
        </is>
      </c>
      <c r="B780" t="inlineStr">
        <is>
          <t>CLI-00794</t>
        </is>
      </c>
      <c r="C780" t="inlineStr">
        <is>
          <t>Île-de-France</t>
        </is>
      </c>
      <c r="D780" t="inlineStr">
        <is>
          <t>materiel</t>
        </is>
      </c>
      <c r="E780" t="inlineStr">
        <is>
          <t>crédit-bail</t>
        </is>
      </c>
      <c r="F780" t="inlineStr">
        <is>
          <t>2024-04-05</t>
        </is>
      </c>
      <c r="G780" s="4" t="n">
        <v>85271.12</v>
      </c>
      <c r="H780" s="4">
        <f>MAX(0,G780-SUMIFS('Paiements contrat'!$B:$B,'Paiements contrat'!$A:$A,A780))</f>
        <v/>
      </c>
      <c r="I780" s="4" t="n">
        <v>34957.99</v>
      </c>
      <c r="J780" t="inlineStr">
        <is>
          <t>actif</t>
        </is>
      </c>
    </row>
    <row r="781">
      <c r="A781" t="inlineStr">
        <is>
          <t>CTR-00797</t>
        </is>
      </c>
      <c r="B781" t="inlineStr">
        <is>
          <t>CLI-00373</t>
        </is>
      </c>
      <c r="C781" t="inlineStr">
        <is>
          <t>Martinique</t>
        </is>
      </c>
      <c r="D781" t="inlineStr">
        <is>
          <t>auto</t>
        </is>
      </c>
      <c r="E781" t="inlineStr">
        <is>
          <t>LLD</t>
        </is>
      </c>
      <c r="F781" t="inlineStr">
        <is>
          <t>2025-06-15</t>
        </is>
      </c>
      <c r="G781" s="4" t="n">
        <v>33672.32</v>
      </c>
      <c r="H781" s="4">
        <f>MAX(0,G781-SUMIFS('Paiements contrat'!$B:$B,'Paiements contrat'!$A:$A,A781))</f>
        <v/>
      </c>
      <c r="I781" s="4" t="n">
        <v>29642.71316063423</v>
      </c>
      <c r="J781" t="inlineStr">
        <is>
          <t>actif</t>
        </is>
      </c>
    </row>
    <row r="782">
      <c r="A782" t="inlineStr">
        <is>
          <t>CTR-00798</t>
        </is>
      </c>
      <c r="B782" t="inlineStr">
        <is>
          <t>CLI-00299</t>
        </is>
      </c>
      <c r="C782" t="inlineStr">
        <is>
          <t>Île-de-France</t>
        </is>
      </c>
      <c r="D782" t="inlineStr">
        <is>
          <t>auto</t>
        </is>
      </c>
      <c r="E782" t="inlineStr">
        <is>
          <t>LOA</t>
        </is>
      </c>
      <c r="F782" t="inlineStr">
        <is>
          <t>2026-01-21</t>
        </is>
      </c>
      <c r="G782" s="4" t="n">
        <v>39366.64</v>
      </c>
      <c r="H782" s="4">
        <f>MAX(0,G782-SUMIFS('Paiements contrat'!$B:$B,'Paiements contrat'!$A:$A,A782))</f>
        <v/>
      </c>
      <c r="I782" s="4" t="n">
        <v>36162.45</v>
      </c>
      <c r="J782" t="inlineStr">
        <is>
          <t>actif</t>
        </is>
      </c>
    </row>
    <row r="783">
      <c r="A783" t="inlineStr">
        <is>
          <t>CTR-00799</t>
        </is>
      </c>
      <c r="B783" t="inlineStr">
        <is>
          <t>CLI-00866</t>
        </is>
      </c>
      <c r="C783" t="inlineStr">
        <is>
          <t>Île-de-France</t>
        </is>
      </c>
      <c r="D783" t="inlineStr">
        <is>
          <t>auto</t>
        </is>
      </c>
      <c r="E783" t="inlineStr">
        <is>
          <t>LOA</t>
        </is>
      </c>
      <c r="F783" t="inlineStr">
        <is>
          <t>2024-10-17</t>
        </is>
      </c>
      <c r="G783" s="4" t="n">
        <v>15081.43</v>
      </c>
      <c r="H783" s="4">
        <f>MAX(0,G783-SUMIFS('Paiements contrat'!$B:$B,'Paiements contrat'!$A:$A,A783))</f>
        <v/>
      </c>
      <c r="I783" s="4" t="n">
        <v>5358.280068094702</v>
      </c>
      <c r="J783" t="inlineStr">
        <is>
          <t>actif</t>
        </is>
      </c>
    </row>
    <row r="784">
      <c r="A784" t="inlineStr">
        <is>
          <t>CTR-00800</t>
        </is>
      </c>
      <c r="B784" t="inlineStr">
        <is>
          <t>CLI-01064</t>
        </is>
      </c>
      <c r="C784" t="inlineStr">
        <is>
          <t>Île-de-France</t>
        </is>
      </c>
      <c r="D784" t="inlineStr">
        <is>
          <t>auto</t>
        </is>
      </c>
      <c r="E784" t="inlineStr">
        <is>
          <t>LOA</t>
        </is>
      </c>
      <c r="F784" t="inlineStr">
        <is>
          <t>2025-01-09</t>
        </is>
      </c>
      <c r="G784" s="4" t="n">
        <v>31869.33</v>
      </c>
      <c r="H784" s="4">
        <f>MAX(0,G784-SUMIFS('Paiements contrat'!$B:$B,'Paiements contrat'!$A:$A,A784))</f>
        <v/>
      </c>
      <c r="I784" s="4" t="n">
        <v>20168.12</v>
      </c>
      <c r="J784" t="inlineStr">
        <is>
          <t>actif</t>
        </is>
      </c>
    </row>
    <row r="785">
      <c r="A785" t="inlineStr">
        <is>
          <t>CTR-00801</t>
        </is>
      </c>
      <c r="B785" t="inlineStr">
        <is>
          <t>CLI-00353</t>
        </is>
      </c>
      <c r="C785" t="inlineStr">
        <is>
          <t>Île-de-France</t>
        </is>
      </c>
      <c r="D785" t="inlineStr">
        <is>
          <t>auto</t>
        </is>
      </c>
      <c r="E785" t="inlineStr">
        <is>
          <t>LOA</t>
        </is>
      </c>
      <c r="F785" t="inlineStr">
        <is>
          <t>2026-03-06</t>
        </is>
      </c>
      <c r="G785" s="4" t="n">
        <v>26368.08</v>
      </c>
      <c r="H785" s="4">
        <f>MAX(0,G785-SUMIFS('Paiements contrat'!$B:$B,'Paiements contrat'!$A:$A,A785))</f>
        <v/>
      </c>
      <c r="I785" s="4" t="n">
        <v>26368.08</v>
      </c>
      <c r="J785" t="inlineStr">
        <is>
          <t>actif</t>
        </is>
      </c>
    </row>
    <row r="786">
      <c r="A786" t="inlineStr">
        <is>
          <t>CTR-00802</t>
        </is>
      </c>
      <c r="B786" t="inlineStr">
        <is>
          <t>CLI-00609</t>
        </is>
      </c>
      <c r="C786" t="inlineStr">
        <is>
          <t>Guadeloupe</t>
        </is>
      </c>
      <c r="D786" t="inlineStr">
        <is>
          <t>materiel</t>
        </is>
      </c>
      <c r="E786" t="inlineStr">
        <is>
          <t>crédit-bail</t>
        </is>
      </c>
      <c r="F786" t="inlineStr">
        <is>
          <t>2024-05-06</t>
        </is>
      </c>
      <c r="G786" s="4" t="n">
        <v>42178.9</v>
      </c>
      <c r="H786" s="4">
        <f>MAX(0,G786-SUMIFS('Paiements contrat'!$B:$B,'Paiements contrat'!$A:$A,A786))</f>
        <v/>
      </c>
      <c r="I786" s="4" t="n">
        <v>3645.669999999998</v>
      </c>
      <c r="J786" t="inlineStr">
        <is>
          <t>actif</t>
        </is>
      </c>
    </row>
    <row r="787">
      <c r="A787" t="inlineStr">
        <is>
          <t>CTR-00803</t>
        </is>
      </c>
      <c r="B787" t="inlineStr">
        <is>
          <t>CLI-00119</t>
        </is>
      </c>
      <c r="C787" t="inlineStr">
        <is>
          <t>Île-de-France</t>
        </is>
      </c>
      <c r="D787" t="inlineStr">
        <is>
          <t>auto</t>
        </is>
      </c>
      <c r="E787" t="inlineStr">
        <is>
          <t>LLD</t>
        </is>
      </c>
      <c r="F787" t="inlineStr">
        <is>
          <t>2025-05-20</t>
        </is>
      </c>
      <c r="G787" s="4" t="n">
        <v>71368.99000000001</v>
      </c>
      <c r="H787" s="4">
        <f>MAX(0,G787-SUMIFS('Paiements contrat'!$B:$B,'Paiements contrat'!$A:$A,A787))</f>
        <v/>
      </c>
      <c r="I787" s="4" t="n">
        <v>29891.37</v>
      </c>
      <c r="J787" t="inlineStr">
        <is>
          <t>actif</t>
        </is>
      </c>
    </row>
    <row r="788">
      <c r="A788" t="inlineStr">
        <is>
          <t>CTR-00804</t>
        </is>
      </c>
      <c r="B788" t="inlineStr">
        <is>
          <t>CLI-00348</t>
        </is>
      </c>
      <c r="C788" t="inlineStr">
        <is>
          <t>Île-de-France</t>
        </is>
      </c>
      <c r="D788" t="inlineStr">
        <is>
          <t>auto</t>
        </is>
      </c>
      <c r="E788" t="inlineStr">
        <is>
          <t>LOA</t>
        </is>
      </c>
      <c r="F788" t="inlineStr">
        <is>
          <t>2025-04-08</t>
        </is>
      </c>
      <c r="G788" s="4" t="n">
        <v>15704.09</v>
      </c>
      <c r="H788" s="4">
        <f>MAX(0,G788-SUMIFS('Paiements contrat'!$B:$B,'Paiements contrat'!$A:$A,A788))</f>
        <v/>
      </c>
      <c r="I788" s="4" t="n">
        <v>11674.63</v>
      </c>
      <c r="J788" t="inlineStr">
        <is>
          <t>actif</t>
        </is>
      </c>
    </row>
    <row r="789">
      <c r="A789" t="inlineStr">
        <is>
          <t>CTR-00805</t>
        </is>
      </c>
      <c r="B789" t="inlineStr">
        <is>
          <t>CLI-00562</t>
        </is>
      </c>
      <c r="C789" t="inlineStr">
        <is>
          <t>Île-de-France</t>
        </is>
      </c>
      <c r="D789" t="inlineStr">
        <is>
          <t>materiel</t>
        </is>
      </c>
      <c r="E789" t="inlineStr">
        <is>
          <t>crédit-bail</t>
        </is>
      </c>
      <c r="F789" t="inlineStr">
        <is>
          <t>2024-08-02</t>
        </is>
      </c>
      <c r="G789" s="4" t="n">
        <v>20669.85</v>
      </c>
      <c r="H789" s="4">
        <f>MAX(0,G789-SUMIFS('Paiements contrat'!$B:$B,'Paiements contrat'!$A:$A,A789))</f>
        <v/>
      </c>
      <c r="I789" s="4" t="n">
        <v>11442.76</v>
      </c>
      <c r="J789" t="inlineStr">
        <is>
          <t>actif</t>
        </is>
      </c>
    </row>
    <row r="790">
      <c r="A790" t="inlineStr">
        <is>
          <t>CTR-00806</t>
        </is>
      </c>
      <c r="B790" t="inlineStr">
        <is>
          <t>CLI-01403</t>
        </is>
      </c>
      <c r="C790" t="inlineStr">
        <is>
          <t>Île-de-France</t>
        </is>
      </c>
      <c r="D790" t="inlineStr">
        <is>
          <t>auto</t>
        </is>
      </c>
      <c r="E790" t="inlineStr">
        <is>
          <t>LOA</t>
        </is>
      </c>
      <c r="F790" t="inlineStr">
        <is>
          <t>2024-07-01</t>
        </is>
      </c>
      <c r="G790" s="4" t="n">
        <v>50507.72</v>
      </c>
      <c r="H790" s="4">
        <f>MAX(0,G790-SUMIFS('Paiements contrat'!$B:$B,'Paiements contrat'!$A:$A,A790))</f>
        <v/>
      </c>
      <c r="I790" s="4" t="n">
        <v>10956.93</v>
      </c>
      <c r="J790" t="inlineStr">
        <is>
          <t>actif</t>
        </is>
      </c>
    </row>
    <row r="791">
      <c r="A791" t="inlineStr">
        <is>
          <t>CTR-00807</t>
        </is>
      </c>
      <c r="B791" t="inlineStr">
        <is>
          <t>CLI-00809</t>
        </is>
      </c>
      <c r="C791" t="inlineStr">
        <is>
          <t>Île-de-France</t>
        </is>
      </c>
      <c r="D791" t="inlineStr">
        <is>
          <t>materiel</t>
        </is>
      </c>
      <c r="E791" t="inlineStr">
        <is>
          <t>crédit-bail</t>
        </is>
      </c>
      <c r="F791" t="inlineStr">
        <is>
          <t>2025-12-22</t>
        </is>
      </c>
      <c r="G791" s="4" t="n">
        <v>63097.01</v>
      </c>
      <c r="H791" s="4">
        <f>MAX(0,G791-SUMIFS('Paiements contrat'!$B:$B,'Paiements contrat'!$A:$A,A791))</f>
        <v/>
      </c>
      <c r="I791" s="4" t="n">
        <v>58119.33</v>
      </c>
      <c r="J791" t="inlineStr">
        <is>
          <t>actif</t>
        </is>
      </c>
    </row>
    <row r="792">
      <c r="A792" t="inlineStr">
        <is>
          <t>CTR-00808</t>
        </is>
      </c>
      <c r="B792" t="inlineStr">
        <is>
          <t>CLI-00613</t>
        </is>
      </c>
      <c r="C792" t="inlineStr">
        <is>
          <t>Réunion</t>
        </is>
      </c>
      <c r="D792" t="inlineStr">
        <is>
          <t>materiel</t>
        </is>
      </c>
      <c r="E792" t="inlineStr">
        <is>
          <t>crédit-bail</t>
        </is>
      </c>
      <c r="F792" t="inlineStr">
        <is>
          <t>2025-02-23</t>
        </is>
      </c>
      <c r="G792" s="4" t="n">
        <v>126135.06</v>
      </c>
      <c r="H792" s="4">
        <f>MAX(0,G792-SUMIFS('Paiements contrat'!$B:$B,'Paiements contrat'!$A:$A,A792))</f>
        <v/>
      </c>
      <c r="I792" s="4" t="n">
        <v>87167.5012166519</v>
      </c>
      <c r="J792" t="inlineStr">
        <is>
          <t>actif</t>
        </is>
      </c>
    </row>
    <row r="793">
      <c r="A793" t="inlineStr">
        <is>
          <t>CTR-00809</t>
        </is>
      </c>
      <c r="B793" t="inlineStr">
        <is>
          <t>CLI-00024</t>
        </is>
      </c>
      <c r="C793" t="inlineStr">
        <is>
          <t>Île-de-France</t>
        </is>
      </c>
      <c r="D793" t="inlineStr">
        <is>
          <t>auto</t>
        </is>
      </c>
      <c r="E793" t="inlineStr">
        <is>
          <t>LLD</t>
        </is>
      </c>
      <c r="F793" t="inlineStr">
        <is>
          <t>2024-07-03</t>
        </is>
      </c>
      <c r="G793" s="4" t="n">
        <v>18126</v>
      </c>
      <c r="H793" s="4">
        <f>MAX(0,G793-SUMIFS('Paiements contrat'!$B:$B,'Paiements contrat'!$A:$A,A793))</f>
        <v/>
      </c>
      <c r="I793" s="4" t="n">
        <v>1963.27</v>
      </c>
      <c r="J793" t="inlineStr">
        <is>
          <t>actif</t>
        </is>
      </c>
    </row>
    <row r="794">
      <c r="A794" t="inlineStr">
        <is>
          <t>CTR-00810</t>
        </is>
      </c>
      <c r="B794" t="inlineStr">
        <is>
          <t>CLI-00994</t>
        </is>
      </c>
      <c r="C794" t="inlineStr">
        <is>
          <t>Île-de-France</t>
        </is>
      </c>
      <c r="D794" t="inlineStr">
        <is>
          <t>auto</t>
        </is>
      </c>
      <c r="E794" t="inlineStr">
        <is>
          <t>LOA</t>
        </is>
      </c>
      <c r="F794" t="inlineStr">
        <is>
          <t>2024-07-22</t>
        </is>
      </c>
      <c r="G794" s="4" t="n">
        <v>9642.610000000001</v>
      </c>
      <c r="H794" s="4">
        <f>MAX(0,G794-SUMIFS('Paiements contrat'!$B:$B,'Paiements contrat'!$A:$A,A794))</f>
        <v/>
      </c>
      <c r="I794" s="4" t="n">
        <v>6844.640000000001</v>
      </c>
      <c r="J794" t="inlineStr">
        <is>
          <t>actif</t>
        </is>
      </c>
    </row>
    <row r="795">
      <c r="A795" t="inlineStr">
        <is>
          <t>CTR-00811</t>
        </is>
      </c>
      <c r="B795" t="inlineStr">
        <is>
          <t>CLI-01017</t>
        </is>
      </c>
      <c r="C795" t="inlineStr">
        <is>
          <t>Île-de-France</t>
        </is>
      </c>
      <c r="D795" t="inlineStr">
        <is>
          <t>materiel</t>
        </is>
      </c>
      <c r="E795" t="inlineStr">
        <is>
          <t>crédit-bail</t>
        </is>
      </c>
      <c r="F795" t="inlineStr">
        <is>
          <t>2026-02-16</t>
        </is>
      </c>
      <c r="G795" s="4" t="n">
        <v>142231.19</v>
      </c>
      <c r="H795" s="4">
        <f>MAX(0,G795-SUMIFS('Paiements contrat'!$B:$B,'Paiements contrat'!$A:$A,A795))</f>
        <v/>
      </c>
      <c r="I795" s="4" t="n">
        <v>136672.36</v>
      </c>
      <c r="J795" t="inlineStr">
        <is>
          <t>actif</t>
        </is>
      </c>
    </row>
    <row r="796">
      <c r="A796" t="inlineStr">
        <is>
          <t>CTR-00812</t>
        </is>
      </c>
      <c r="B796" t="inlineStr">
        <is>
          <t>CLI-01481</t>
        </is>
      </c>
      <c r="C796" t="inlineStr">
        <is>
          <t>Île-de-France</t>
        </is>
      </c>
      <c r="D796" t="inlineStr">
        <is>
          <t>materiel</t>
        </is>
      </c>
      <c r="E796" t="inlineStr">
        <is>
          <t>crédit-bail</t>
        </is>
      </c>
      <c r="F796" t="inlineStr">
        <is>
          <t>2025-02-09</t>
        </is>
      </c>
      <c r="G796" s="4" t="n">
        <v>84316.95</v>
      </c>
      <c r="H796" s="4">
        <f>MAX(0,G796-SUMIFS('Paiements contrat'!$B:$B,'Paiements contrat'!$A:$A,A796))</f>
        <v/>
      </c>
      <c r="I796" s="4" t="n">
        <v>68760.44</v>
      </c>
      <c r="J796" t="inlineStr">
        <is>
          <t>actif</t>
        </is>
      </c>
    </row>
    <row r="797">
      <c r="A797" t="inlineStr">
        <is>
          <t>CTR-00813</t>
        </is>
      </c>
      <c r="B797" t="inlineStr">
        <is>
          <t>CLI-00183</t>
        </is>
      </c>
      <c r="C797" t="inlineStr">
        <is>
          <t>Île-de-France</t>
        </is>
      </c>
      <c r="D797" t="inlineStr">
        <is>
          <t>auto</t>
        </is>
      </c>
      <c r="E797" t="inlineStr">
        <is>
          <t>LOA</t>
        </is>
      </c>
      <c r="F797" t="inlineStr">
        <is>
          <t>2024-05-02</t>
        </is>
      </c>
      <c r="G797" s="4" t="n">
        <v>63912.06</v>
      </c>
      <c r="H797" s="4">
        <f>MAX(0,G797-SUMIFS('Paiements contrat'!$B:$B,'Paiements contrat'!$A:$A,A797))</f>
        <v/>
      </c>
      <c r="I797" s="4" t="n">
        <v>3389.729999999996</v>
      </c>
      <c r="J797" t="inlineStr">
        <is>
          <t>actif</t>
        </is>
      </c>
    </row>
    <row r="798">
      <c r="A798" t="inlineStr">
        <is>
          <t>CTR-00814</t>
        </is>
      </c>
      <c r="B798" t="inlineStr">
        <is>
          <t>CLI-00811</t>
        </is>
      </c>
      <c r="C798" t="inlineStr">
        <is>
          <t>Réunion</t>
        </is>
      </c>
      <c r="D798" t="inlineStr">
        <is>
          <t>auto</t>
        </is>
      </c>
      <c r="E798" t="inlineStr">
        <is>
          <t>LLD</t>
        </is>
      </c>
      <c r="F798" t="inlineStr">
        <is>
          <t>2025-07-24</t>
        </is>
      </c>
      <c r="G798" s="4" t="n">
        <v>58444.51</v>
      </c>
      <c r="H798" s="4">
        <f>MAX(0,G798-SUMIFS('Paiements contrat'!$B:$B,'Paiements contrat'!$A:$A,A798))</f>
        <v/>
      </c>
      <c r="I798" s="4" t="n">
        <v>33304.22</v>
      </c>
      <c r="J798" t="inlineStr">
        <is>
          <t>actif</t>
        </is>
      </c>
    </row>
    <row r="799">
      <c r="A799" t="inlineStr">
        <is>
          <t>CTR-00815</t>
        </is>
      </c>
      <c r="B799" t="inlineStr">
        <is>
          <t>CLI-00197</t>
        </is>
      </c>
      <c r="C799" t="inlineStr">
        <is>
          <t>Île-de-France</t>
        </is>
      </c>
      <c r="D799" t="inlineStr">
        <is>
          <t>materiel</t>
        </is>
      </c>
      <c r="E799" t="inlineStr">
        <is>
          <t>crédit-bail</t>
        </is>
      </c>
      <c r="F799" t="inlineStr">
        <is>
          <t>2025-09-03</t>
        </is>
      </c>
      <c r="G799" s="4" t="n">
        <v>48851.92</v>
      </c>
      <c r="H799" s="4">
        <f>MAX(0,G799-SUMIFS('Paiements contrat'!$B:$B,'Paiements contrat'!$A:$A,A799))</f>
        <v/>
      </c>
      <c r="I799" s="4" t="n">
        <v>41204.77</v>
      </c>
      <c r="J799" t="inlineStr">
        <is>
          <t>actif</t>
        </is>
      </c>
    </row>
    <row r="800">
      <c r="A800" t="inlineStr">
        <is>
          <t>CTR-00816</t>
        </is>
      </c>
      <c r="B800" t="inlineStr">
        <is>
          <t>CLI-01198</t>
        </is>
      </c>
      <c r="C800" t="inlineStr">
        <is>
          <t>Réunion</t>
        </is>
      </c>
      <c r="D800" t="inlineStr">
        <is>
          <t>materiel</t>
        </is>
      </c>
      <c r="E800" t="inlineStr">
        <is>
          <t>crédit-bail</t>
        </is>
      </c>
      <c r="F800" t="inlineStr">
        <is>
          <t>2025-04-20</t>
        </is>
      </c>
      <c r="G800" s="4" t="n">
        <v>94996.25</v>
      </c>
      <c r="H800" s="4">
        <f>MAX(0,G800-SUMIFS('Paiements contrat'!$B:$B,'Paiements contrat'!$A:$A,A800))</f>
        <v/>
      </c>
      <c r="I800" s="4" t="n">
        <v>57060.78</v>
      </c>
      <c r="J800" t="inlineStr">
        <is>
          <t>actif</t>
        </is>
      </c>
    </row>
    <row r="801">
      <c r="A801" t="inlineStr">
        <is>
          <t>CTR-00817</t>
        </is>
      </c>
      <c r="B801" t="inlineStr">
        <is>
          <t>CLI-01409</t>
        </is>
      </c>
      <c r="C801" t="inlineStr">
        <is>
          <t>Île-de-France</t>
        </is>
      </c>
      <c r="D801" t="inlineStr">
        <is>
          <t>materiel</t>
        </is>
      </c>
      <c r="E801" t="inlineStr">
        <is>
          <t>crédit-bail</t>
        </is>
      </c>
      <c r="F801" t="inlineStr">
        <is>
          <t>2026-01-17</t>
        </is>
      </c>
      <c r="G801" s="4" t="n">
        <v>90672.75</v>
      </c>
      <c r="H801" s="4">
        <f>MAX(0,G801-SUMIFS('Paiements contrat'!$B:$B,'Paiements contrat'!$A:$A,A801))</f>
        <v/>
      </c>
      <c r="I801" s="4" t="n">
        <v>89393.45</v>
      </c>
      <c r="J801" t="inlineStr">
        <is>
          <t>actif</t>
        </is>
      </c>
    </row>
    <row r="802">
      <c r="A802" t="inlineStr">
        <is>
          <t>CTR-00818</t>
        </is>
      </c>
      <c r="B802" t="inlineStr">
        <is>
          <t>CLI-01302</t>
        </is>
      </c>
      <c r="C802" t="inlineStr">
        <is>
          <t>Martinique</t>
        </is>
      </c>
      <c r="D802" t="inlineStr">
        <is>
          <t>materiel</t>
        </is>
      </c>
      <c r="E802" t="inlineStr">
        <is>
          <t>crédit-bail</t>
        </is>
      </c>
      <c r="F802" t="inlineStr">
        <is>
          <t>2024-08-09</t>
        </is>
      </c>
      <c r="G802" s="4" t="n">
        <v>13228.27</v>
      </c>
      <c r="H802" s="4">
        <f>MAX(0,G802-SUMIFS('Paiements contrat'!$B:$B,'Paiements contrat'!$A:$A,A802))</f>
        <v/>
      </c>
      <c r="I802" s="4" t="n">
        <v>3569.164840628015</v>
      </c>
      <c r="J802" t="inlineStr">
        <is>
          <t>actif</t>
        </is>
      </c>
    </row>
    <row r="803">
      <c r="A803" t="inlineStr">
        <is>
          <t>CTR-00819</t>
        </is>
      </c>
      <c r="B803" t="inlineStr">
        <is>
          <t>CLI-00169</t>
        </is>
      </c>
      <c r="C803" t="inlineStr">
        <is>
          <t>Île-de-France</t>
        </is>
      </c>
      <c r="D803" t="inlineStr">
        <is>
          <t>bateau</t>
        </is>
      </c>
      <c r="E803" t="inlineStr">
        <is>
          <t>LOA</t>
        </is>
      </c>
      <c r="F803" t="inlineStr">
        <is>
          <t>2024-07-20</t>
        </is>
      </c>
      <c r="G803" s="4" t="n">
        <v>220462.7</v>
      </c>
      <c r="H803" s="4">
        <f>MAX(0,G803-SUMIFS('Paiements contrat'!$B:$B,'Paiements contrat'!$A:$A,A803))</f>
        <v/>
      </c>
      <c r="I803" s="4" t="n">
        <v>158218.5373853476</v>
      </c>
      <c r="J803" t="inlineStr">
        <is>
          <t>actif</t>
        </is>
      </c>
    </row>
    <row r="804">
      <c r="A804" t="inlineStr">
        <is>
          <t>CTR-00820</t>
        </is>
      </c>
      <c r="B804" t="inlineStr">
        <is>
          <t>CLI-00528</t>
        </is>
      </c>
      <c r="C804" t="inlineStr">
        <is>
          <t>Île-de-France</t>
        </is>
      </c>
      <c r="D804" t="inlineStr">
        <is>
          <t>auto</t>
        </is>
      </c>
      <c r="E804" t="inlineStr">
        <is>
          <t>LOA</t>
        </is>
      </c>
      <c r="F804" t="inlineStr">
        <is>
          <t>2024-11-26</t>
        </is>
      </c>
      <c r="G804" s="4" t="n">
        <v>46634.87</v>
      </c>
      <c r="H804" s="4">
        <f>MAX(0,G804-SUMIFS('Paiements contrat'!$B:$B,'Paiements contrat'!$A:$A,A804))</f>
        <v/>
      </c>
      <c r="I804" s="4" t="n">
        <v>32773.95191687037</v>
      </c>
      <c r="J804" t="inlineStr">
        <is>
          <t>actif</t>
        </is>
      </c>
    </row>
    <row r="805">
      <c r="A805" t="inlineStr">
        <is>
          <t>CTR-00821</t>
        </is>
      </c>
      <c r="B805" t="inlineStr">
        <is>
          <t>CLI-00703</t>
        </is>
      </c>
      <c r="C805" t="inlineStr">
        <is>
          <t>Île-de-France</t>
        </is>
      </c>
      <c r="D805" t="inlineStr">
        <is>
          <t>auto</t>
        </is>
      </c>
      <c r="E805" t="inlineStr">
        <is>
          <t>LLD</t>
        </is>
      </c>
      <c r="F805" t="inlineStr">
        <is>
          <t>2024-11-05</t>
        </is>
      </c>
      <c r="G805" s="4" t="n">
        <v>40863.54</v>
      </c>
      <c r="H805" s="4">
        <f>MAX(0,G805-SUMIFS('Paiements contrat'!$B:$B,'Paiements contrat'!$A:$A,A805))</f>
        <v/>
      </c>
      <c r="I805" s="4" t="n">
        <v>28211.10274769529</v>
      </c>
      <c r="J805" t="inlineStr">
        <is>
          <t>actif</t>
        </is>
      </c>
    </row>
    <row r="806">
      <c r="A806" t="inlineStr">
        <is>
          <t>CTR-00822</t>
        </is>
      </c>
      <c r="B806" t="inlineStr">
        <is>
          <t>CLI-01321</t>
        </is>
      </c>
      <c r="C806" t="inlineStr">
        <is>
          <t>Guyane</t>
        </is>
      </c>
      <c r="D806" t="inlineStr">
        <is>
          <t>bateau</t>
        </is>
      </c>
      <c r="E806" t="inlineStr">
        <is>
          <t>LOA</t>
        </is>
      </c>
      <c r="F806" t="inlineStr">
        <is>
          <t>2025-10-09</t>
        </is>
      </c>
      <c r="G806" s="4" t="n">
        <v>218382.2</v>
      </c>
      <c r="H806" s="4">
        <f>MAX(0,G806-SUMIFS('Paiements contrat'!$B:$B,'Paiements contrat'!$A:$A,A806))</f>
        <v/>
      </c>
      <c r="I806" s="4" t="n">
        <v>160004.7</v>
      </c>
      <c r="J806" t="inlineStr">
        <is>
          <t>actif</t>
        </is>
      </c>
    </row>
    <row r="807">
      <c r="A807" t="inlineStr">
        <is>
          <t>CTR-00823</t>
        </is>
      </c>
      <c r="B807" t="inlineStr">
        <is>
          <t>CLI-00323</t>
        </is>
      </c>
      <c r="C807" t="inlineStr">
        <is>
          <t>Réunion</t>
        </is>
      </c>
      <c r="D807" t="inlineStr">
        <is>
          <t>materiel</t>
        </is>
      </c>
      <c r="E807" t="inlineStr">
        <is>
          <t>crédit-bail</t>
        </is>
      </c>
      <c r="F807" t="inlineStr">
        <is>
          <t>2026-03-25</t>
        </is>
      </c>
      <c r="G807" s="4" t="n">
        <v>114957.01</v>
      </c>
      <c r="H807" s="4">
        <f>MAX(0,G807-SUMIFS('Paiements contrat'!$B:$B,'Paiements contrat'!$A:$A,A807))</f>
        <v/>
      </c>
      <c r="I807" s="4" t="n">
        <v>114957.01</v>
      </c>
      <c r="J807" t="inlineStr">
        <is>
          <t>actif</t>
        </is>
      </c>
    </row>
    <row r="808">
      <c r="A808" t="inlineStr">
        <is>
          <t>CTR-00824</t>
        </is>
      </c>
      <c r="B808" t="inlineStr">
        <is>
          <t>CLI-00885</t>
        </is>
      </c>
      <c r="C808" t="inlineStr">
        <is>
          <t>Île-de-France</t>
        </is>
      </c>
      <c r="D808" t="inlineStr">
        <is>
          <t>auto</t>
        </is>
      </c>
      <c r="E808" t="inlineStr">
        <is>
          <t>LOA</t>
        </is>
      </c>
      <c r="F808" t="inlineStr">
        <is>
          <t>2025-06-25</t>
        </is>
      </c>
      <c r="G808" s="4" t="n">
        <v>30583.26</v>
      </c>
      <c r="H808" s="4">
        <f>MAX(0,G808-SUMIFS('Paiements contrat'!$B:$B,'Paiements contrat'!$A:$A,A808))</f>
        <v/>
      </c>
      <c r="I808" s="4" t="n">
        <v>26180.07116383746</v>
      </c>
      <c r="J808" t="inlineStr">
        <is>
          <t>actif</t>
        </is>
      </c>
    </row>
    <row r="809">
      <c r="A809" t="inlineStr">
        <is>
          <t>CTR-00825</t>
        </is>
      </c>
      <c r="B809" t="inlineStr">
        <is>
          <t>CLI-00633</t>
        </is>
      </c>
      <c r="C809" t="inlineStr">
        <is>
          <t>Martinique</t>
        </is>
      </c>
      <c r="D809" t="inlineStr">
        <is>
          <t>auto</t>
        </is>
      </c>
      <c r="E809" t="inlineStr">
        <is>
          <t>LLD</t>
        </is>
      </c>
      <c r="F809" t="inlineStr">
        <is>
          <t>2024-10-14</t>
        </is>
      </c>
      <c r="G809" s="4" t="n">
        <v>60946.28</v>
      </c>
      <c r="H809" s="4">
        <f>MAX(0,G809-SUMIFS('Paiements contrat'!$B:$B,'Paiements contrat'!$A:$A,A809))</f>
        <v/>
      </c>
      <c r="I809" s="4" t="n">
        <v>34139.64510423306</v>
      </c>
      <c r="J809" t="inlineStr">
        <is>
          <t>actif</t>
        </is>
      </c>
    </row>
    <row r="810">
      <c r="A810" t="inlineStr">
        <is>
          <t>CTR-00826</t>
        </is>
      </c>
      <c r="B810" t="inlineStr">
        <is>
          <t>CLI-00092</t>
        </is>
      </c>
      <c r="C810" t="inlineStr">
        <is>
          <t>Martinique</t>
        </is>
      </c>
      <c r="D810" t="inlineStr">
        <is>
          <t>auto</t>
        </is>
      </c>
      <c r="E810" t="inlineStr">
        <is>
          <t>LLD</t>
        </is>
      </c>
      <c r="F810" t="inlineStr">
        <is>
          <t>2025-07-06</t>
        </is>
      </c>
      <c r="G810" s="4" t="n">
        <v>58646.92</v>
      </c>
      <c r="H810" s="4">
        <f>MAX(0,G810-SUMIFS('Paiements contrat'!$B:$B,'Paiements contrat'!$A:$A,A810))</f>
        <v/>
      </c>
      <c r="I810" s="4" t="n">
        <v>49574.64</v>
      </c>
      <c r="J810" t="inlineStr">
        <is>
          <t>actif</t>
        </is>
      </c>
    </row>
    <row r="811">
      <c r="A811" t="inlineStr">
        <is>
          <t>CTR-00827</t>
        </is>
      </c>
      <c r="B811" t="inlineStr">
        <is>
          <t>CLI-00791</t>
        </is>
      </c>
      <c r="C811" t="inlineStr">
        <is>
          <t>Île-de-France</t>
        </is>
      </c>
      <c r="D811" t="inlineStr">
        <is>
          <t>auto</t>
        </is>
      </c>
      <c r="E811" t="inlineStr">
        <is>
          <t>LLD</t>
        </is>
      </c>
      <c r="F811" t="inlineStr">
        <is>
          <t>2024-10-13</t>
        </is>
      </c>
      <c r="G811" s="4" t="n">
        <v>59443.18</v>
      </c>
      <c r="H811" s="4">
        <f>MAX(0,G811-SUMIFS('Paiements contrat'!$B:$B,'Paiements contrat'!$A:$A,A811))</f>
        <v/>
      </c>
      <c r="I811" s="4" t="n">
        <v>40227.66</v>
      </c>
      <c r="J811" t="inlineStr">
        <is>
          <t>actif</t>
        </is>
      </c>
    </row>
    <row r="812">
      <c r="A812" t="inlineStr">
        <is>
          <t>CTR-00828</t>
        </is>
      </c>
      <c r="B812" t="inlineStr">
        <is>
          <t>CLI-01338</t>
        </is>
      </c>
      <c r="C812" t="inlineStr">
        <is>
          <t>Île-de-France</t>
        </is>
      </c>
      <c r="D812" t="inlineStr">
        <is>
          <t>materiel</t>
        </is>
      </c>
      <c r="E812" t="inlineStr">
        <is>
          <t>crédit-bail</t>
        </is>
      </c>
      <c r="F812" t="inlineStr">
        <is>
          <t>2025-02-02</t>
        </is>
      </c>
      <c r="G812" s="4" t="n">
        <v>58106.57</v>
      </c>
      <c r="H812" s="4">
        <f>MAX(0,G812-SUMIFS('Paiements contrat'!$B:$B,'Paiements contrat'!$A:$A,A812))</f>
        <v/>
      </c>
      <c r="I812" s="4" t="n">
        <v>33436.06</v>
      </c>
      <c r="J812" t="inlineStr">
        <is>
          <t>actif</t>
        </is>
      </c>
    </row>
    <row r="813">
      <c r="A813" t="inlineStr">
        <is>
          <t>CTR-00829</t>
        </is>
      </c>
      <c r="B813" t="inlineStr">
        <is>
          <t>CLI-00703</t>
        </is>
      </c>
      <c r="C813" t="inlineStr">
        <is>
          <t>Île-de-France</t>
        </is>
      </c>
      <c r="D813" t="inlineStr">
        <is>
          <t>auto</t>
        </is>
      </c>
      <c r="E813" t="inlineStr">
        <is>
          <t>LOA</t>
        </is>
      </c>
      <c r="F813" t="inlineStr">
        <is>
          <t>2025-05-07</t>
        </is>
      </c>
      <c r="G813" s="4" t="n">
        <v>49311.15</v>
      </c>
      <c r="H813" s="4">
        <f>MAX(0,G813-SUMIFS('Paiements contrat'!$B:$B,'Paiements contrat'!$A:$A,A813))</f>
        <v/>
      </c>
      <c r="I813" s="4" t="n">
        <v>33964.48157624207</v>
      </c>
      <c r="J813" t="inlineStr">
        <is>
          <t>actif</t>
        </is>
      </c>
    </row>
    <row r="814">
      <c r="A814" t="inlineStr">
        <is>
          <t>CTR-00830</t>
        </is>
      </c>
      <c r="B814" t="inlineStr">
        <is>
          <t>CLI-01182</t>
        </is>
      </c>
      <c r="C814" t="inlineStr">
        <is>
          <t>Guadeloupe</t>
        </is>
      </c>
      <c r="D814" t="inlineStr">
        <is>
          <t>auto</t>
        </is>
      </c>
      <c r="E814" t="inlineStr">
        <is>
          <t>LOA</t>
        </is>
      </c>
      <c r="F814" t="inlineStr">
        <is>
          <t>2025-07-08</t>
        </is>
      </c>
      <c r="G814" s="4" t="n">
        <v>66609.57000000001</v>
      </c>
      <c r="H814" s="4">
        <f>MAX(0,G814-SUMIFS('Paiements contrat'!$B:$B,'Paiements contrat'!$A:$A,A814))</f>
        <v/>
      </c>
      <c r="I814" s="4" t="n">
        <v>56151.41</v>
      </c>
      <c r="J814" t="inlineStr">
        <is>
          <t>actif</t>
        </is>
      </c>
    </row>
    <row r="815">
      <c r="A815" t="inlineStr">
        <is>
          <t>CTR-00831</t>
        </is>
      </c>
      <c r="B815" t="inlineStr">
        <is>
          <t>CLI-01270</t>
        </is>
      </c>
      <c r="C815" t="inlineStr">
        <is>
          <t>Martinique</t>
        </is>
      </c>
      <c r="D815" t="inlineStr">
        <is>
          <t>auto</t>
        </is>
      </c>
      <c r="E815" t="inlineStr">
        <is>
          <t>LOA</t>
        </is>
      </c>
      <c r="F815" t="inlineStr">
        <is>
          <t>2025-03-27</t>
        </is>
      </c>
      <c r="G815" s="4" t="n">
        <v>63414.03</v>
      </c>
      <c r="H815" s="4">
        <f>MAX(0,G815-SUMIFS('Paiements contrat'!$B:$B,'Paiements contrat'!$A:$A,A815))</f>
        <v/>
      </c>
      <c r="I815" s="4" t="n">
        <v>43502.41</v>
      </c>
      <c r="J815" t="inlineStr">
        <is>
          <t>actif</t>
        </is>
      </c>
    </row>
    <row r="816">
      <c r="A816" t="inlineStr">
        <is>
          <t>CTR-00832</t>
        </is>
      </c>
      <c r="B816" t="inlineStr">
        <is>
          <t>CLI-01022</t>
        </is>
      </c>
      <c r="C816" t="inlineStr">
        <is>
          <t>Martinique</t>
        </is>
      </c>
      <c r="D816" t="inlineStr">
        <is>
          <t>materiel</t>
        </is>
      </c>
      <c r="E816" t="inlineStr">
        <is>
          <t>crédit-bail</t>
        </is>
      </c>
      <c r="F816" t="inlineStr">
        <is>
          <t>2025-01-23</t>
        </is>
      </c>
      <c r="G816" s="4" t="n">
        <v>95367.39999999999</v>
      </c>
      <c r="H816" s="4">
        <f>MAX(0,G816-SUMIFS('Paiements contrat'!$B:$B,'Paiements contrat'!$A:$A,A816))</f>
        <v/>
      </c>
      <c r="I816" s="4" t="n">
        <v>64932.84999999999</v>
      </c>
      <c r="J816" t="inlineStr">
        <is>
          <t>actif</t>
        </is>
      </c>
    </row>
    <row r="817">
      <c r="A817" t="inlineStr">
        <is>
          <t>CTR-00833</t>
        </is>
      </c>
      <c r="B817" t="inlineStr">
        <is>
          <t>CLI-01403</t>
        </is>
      </c>
      <c r="C817" t="inlineStr">
        <is>
          <t>Île-de-France</t>
        </is>
      </c>
      <c r="D817" t="inlineStr">
        <is>
          <t>auto</t>
        </is>
      </c>
      <c r="E817" t="inlineStr">
        <is>
          <t>LLD</t>
        </is>
      </c>
      <c r="F817" t="inlineStr">
        <is>
          <t>2024-06-19</t>
        </is>
      </c>
      <c r="G817" s="4" t="n">
        <v>50871.63</v>
      </c>
      <c r="H817" s="4">
        <f>MAX(0,G817-SUMIFS('Paiements contrat'!$B:$B,'Paiements contrat'!$A:$A,A817))</f>
        <v/>
      </c>
      <c r="I817" s="4" t="n">
        <v>35677.25999999999</v>
      </c>
      <c r="J817" t="inlineStr">
        <is>
          <t>actif</t>
        </is>
      </c>
    </row>
    <row r="818">
      <c r="A818" t="inlineStr">
        <is>
          <t>CTR-00835</t>
        </is>
      </c>
      <c r="B818" t="inlineStr">
        <is>
          <t>CLI-01102</t>
        </is>
      </c>
      <c r="C818" t="inlineStr">
        <is>
          <t>Martinique</t>
        </is>
      </c>
      <c r="D818" t="inlineStr">
        <is>
          <t>auto</t>
        </is>
      </c>
      <c r="E818" t="inlineStr">
        <is>
          <t>LOA</t>
        </is>
      </c>
      <c r="F818" t="inlineStr">
        <is>
          <t>2025-12-12</t>
        </is>
      </c>
      <c r="G818" s="4" t="n">
        <v>24085.52</v>
      </c>
      <c r="H818" s="4">
        <f>MAX(0,G818-SUMIFS('Paiements contrat'!$B:$B,'Paiements contrat'!$A:$A,A818))</f>
        <v/>
      </c>
      <c r="I818" s="4" t="n">
        <v>22269.16</v>
      </c>
      <c r="J818" t="inlineStr">
        <is>
          <t>actif</t>
        </is>
      </c>
    </row>
    <row r="819">
      <c r="A819" t="inlineStr">
        <is>
          <t>CTR-00836</t>
        </is>
      </c>
      <c r="B819" t="inlineStr">
        <is>
          <t>CLI-01435</t>
        </is>
      </c>
      <c r="C819" t="inlineStr">
        <is>
          <t>Île-de-France</t>
        </is>
      </c>
      <c r="D819" t="inlineStr">
        <is>
          <t>materiel</t>
        </is>
      </c>
      <c r="E819" t="inlineStr">
        <is>
          <t>crédit-bail</t>
        </is>
      </c>
      <c r="F819" t="inlineStr">
        <is>
          <t>2025-01-20</t>
        </is>
      </c>
      <c r="G819" s="4" t="n">
        <v>61258.32</v>
      </c>
      <c r="H819" s="4">
        <f>MAX(0,G819-SUMIFS('Paiements contrat'!$B:$B,'Paiements contrat'!$A:$A,A819))</f>
        <v/>
      </c>
      <c r="I819" s="4" t="n">
        <v>41324.15</v>
      </c>
      <c r="J819" t="inlineStr">
        <is>
          <t>actif</t>
        </is>
      </c>
    </row>
    <row r="820">
      <c r="A820" t="inlineStr">
        <is>
          <t>CTR-00837</t>
        </is>
      </c>
      <c r="B820" t="inlineStr">
        <is>
          <t>CLI-01324</t>
        </is>
      </c>
      <c r="C820" t="inlineStr">
        <is>
          <t>Île-de-France</t>
        </is>
      </c>
      <c r="D820" t="inlineStr">
        <is>
          <t>auto</t>
        </is>
      </c>
      <c r="E820" t="inlineStr">
        <is>
          <t>LOA</t>
        </is>
      </c>
      <c r="F820" t="inlineStr">
        <is>
          <t>2025-09-09</t>
        </is>
      </c>
      <c r="G820" s="4" t="n">
        <v>19543.09</v>
      </c>
      <c r="H820" s="4">
        <f>MAX(0,G820-SUMIFS('Paiements contrat'!$B:$B,'Paiements contrat'!$A:$A,A820))</f>
        <v/>
      </c>
      <c r="I820" s="4" t="n">
        <v>16609.48</v>
      </c>
      <c r="J820" t="inlineStr">
        <is>
          <t>actif</t>
        </is>
      </c>
    </row>
    <row r="821">
      <c r="A821" t="inlineStr">
        <is>
          <t>CTR-00838</t>
        </is>
      </c>
      <c r="B821" t="inlineStr">
        <is>
          <t>CLI-00797</t>
        </is>
      </c>
      <c r="C821" t="inlineStr">
        <is>
          <t>Île-de-France</t>
        </is>
      </c>
      <c r="D821" t="inlineStr">
        <is>
          <t>materiel</t>
        </is>
      </c>
      <c r="E821" t="inlineStr">
        <is>
          <t>crédit-bail</t>
        </is>
      </c>
      <c r="F821" t="inlineStr">
        <is>
          <t>2025-11-12</t>
        </is>
      </c>
      <c r="G821" s="4" t="n">
        <v>27572.21</v>
      </c>
      <c r="H821" s="4">
        <f>MAX(0,G821-SUMIFS('Paiements contrat'!$B:$B,'Paiements contrat'!$A:$A,A821))</f>
        <v/>
      </c>
      <c r="I821" s="4" t="n">
        <v>24246.37</v>
      </c>
      <c r="J821" t="inlineStr">
        <is>
          <t>actif</t>
        </is>
      </c>
    </row>
    <row r="822">
      <c r="A822" t="inlineStr">
        <is>
          <t>CTR-00839</t>
        </is>
      </c>
      <c r="B822" t="inlineStr">
        <is>
          <t>CLI-00395</t>
        </is>
      </c>
      <c r="C822" t="inlineStr">
        <is>
          <t>Île-de-France</t>
        </is>
      </c>
      <c r="D822" t="inlineStr">
        <is>
          <t>auto</t>
        </is>
      </c>
      <c r="E822" t="inlineStr">
        <is>
          <t>LOA</t>
        </is>
      </c>
      <c r="F822" t="inlineStr">
        <is>
          <t>2025-06-11</t>
        </is>
      </c>
      <c r="G822" s="4" t="n">
        <v>40284.49</v>
      </c>
      <c r="H822" s="4">
        <f>MAX(0,G822-SUMIFS('Paiements contrat'!$B:$B,'Paiements contrat'!$A:$A,A822))</f>
        <v/>
      </c>
      <c r="I822" s="4" t="n">
        <v>36174.72</v>
      </c>
      <c r="J822" t="inlineStr">
        <is>
          <t>actif</t>
        </is>
      </c>
    </row>
    <row r="823">
      <c r="A823" t="inlineStr">
        <is>
          <t>CTR-00840</t>
        </is>
      </c>
      <c r="B823" t="inlineStr">
        <is>
          <t>CLI-00892</t>
        </is>
      </c>
      <c r="C823" t="inlineStr">
        <is>
          <t>Île-de-France</t>
        </is>
      </c>
      <c r="D823" t="inlineStr">
        <is>
          <t>auto</t>
        </is>
      </c>
      <c r="E823" t="inlineStr">
        <is>
          <t>LOA</t>
        </is>
      </c>
      <c r="F823" t="inlineStr">
        <is>
          <t>2024-12-26</t>
        </is>
      </c>
      <c r="G823" s="4" t="n">
        <v>48636.45</v>
      </c>
      <c r="H823" s="4">
        <f>MAX(0,G823-SUMIFS('Paiements contrat'!$B:$B,'Paiements contrat'!$A:$A,A823))</f>
        <v/>
      </c>
      <c r="I823" s="4" t="n">
        <v>35778.84</v>
      </c>
      <c r="J823" t="inlineStr">
        <is>
          <t>actif</t>
        </is>
      </c>
    </row>
    <row r="824">
      <c r="A824" t="inlineStr">
        <is>
          <t>CTR-00841</t>
        </is>
      </c>
      <c r="B824" t="inlineStr">
        <is>
          <t>CLI-01025</t>
        </is>
      </c>
      <c r="C824" t="inlineStr">
        <is>
          <t>Guyane</t>
        </is>
      </c>
      <c r="D824" t="inlineStr">
        <is>
          <t>materiel</t>
        </is>
      </c>
      <c r="E824" t="inlineStr">
        <is>
          <t>crédit-bail</t>
        </is>
      </c>
      <c r="F824" t="inlineStr">
        <is>
          <t>2025-12-14</t>
        </is>
      </c>
      <c r="G824" s="4" t="n">
        <v>16759.85</v>
      </c>
      <c r="H824" s="4">
        <f>MAX(0,G824-SUMIFS('Paiements contrat'!$B:$B,'Paiements contrat'!$A:$A,A824))</f>
        <v/>
      </c>
      <c r="I824" s="4" t="n">
        <v>14771.19</v>
      </c>
      <c r="J824" t="inlineStr">
        <is>
          <t>actif</t>
        </is>
      </c>
    </row>
    <row r="825">
      <c r="A825" t="inlineStr">
        <is>
          <t>CTR-00842</t>
        </is>
      </c>
      <c r="B825" t="inlineStr">
        <is>
          <t>CLI-00020</t>
        </is>
      </c>
      <c r="C825" t="inlineStr">
        <is>
          <t>Île-de-France</t>
        </is>
      </c>
      <c r="D825" t="inlineStr">
        <is>
          <t>auto</t>
        </is>
      </c>
      <c r="E825" t="inlineStr">
        <is>
          <t>LLD</t>
        </is>
      </c>
      <c r="F825" t="inlineStr">
        <is>
          <t>2024-11-05</t>
        </is>
      </c>
      <c r="G825" s="4" t="n">
        <v>70886.39999999999</v>
      </c>
      <c r="H825" s="4">
        <f>MAX(0,G825-SUMIFS('Paiements contrat'!$B:$B,'Paiements contrat'!$A:$A,A825))</f>
        <v/>
      </c>
      <c r="I825" s="4" t="n">
        <v>46699.81999999999</v>
      </c>
      <c r="J825" t="inlineStr">
        <is>
          <t>actif</t>
        </is>
      </c>
    </row>
    <row r="826">
      <c r="A826" t="inlineStr">
        <is>
          <t>CTR-00843</t>
        </is>
      </c>
      <c r="B826" t="inlineStr">
        <is>
          <t>CLI-01236</t>
        </is>
      </c>
      <c r="C826" t="inlineStr">
        <is>
          <t>Guyane</t>
        </is>
      </c>
      <c r="D826" t="inlineStr">
        <is>
          <t>auto</t>
        </is>
      </c>
      <c r="E826" t="inlineStr">
        <is>
          <t>LOA</t>
        </is>
      </c>
      <c r="F826" t="inlineStr">
        <is>
          <t>2024-08-22</t>
        </is>
      </c>
      <c r="G826" s="4" t="n">
        <v>49779.02</v>
      </c>
      <c r="H826" s="4">
        <f>MAX(0,G826-SUMIFS('Paiements contrat'!$B:$B,'Paiements contrat'!$A:$A,A826))</f>
        <v/>
      </c>
      <c r="I826" s="4" t="n">
        <v>26474.04666515734</v>
      </c>
      <c r="J826" t="inlineStr">
        <is>
          <t>actif</t>
        </is>
      </c>
    </row>
    <row r="827">
      <c r="A827" t="inlineStr">
        <is>
          <t>CTR-00844</t>
        </is>
      </c>
      <c r="B827" t="inlineStr">
        <is>
          <t>CLI-00677</t>
        </is>
      </c>
      <c r="C827" t="inlineStr">
        <is>
          <t>Martinique</t>
        </is>
      </c>
      <c r="D827" t="inlineStr">
        <is>
          <t>materiel</t>
        </is>
      </c>
      <c r="E827" t="inlineStr">
        <is>
          <t>crédit-bail</t>
        </is>
      </c>
      <c r="F827" t="inlineStr">
        <is>
          <t>2024-07-10</t>
        </is>
      </c>
      <c r="G827" s="4" t="n">
        <v>166287.45</v>
      </c>
      <c r="H827" s="4">
        <f>MAX(0,G827-SUMIFS('Paiements contrat'!$B:$B,'Paiements contrat'!$A:$A,A827))</f>
        <v/>
      </c>
      <c r="I827" s="4" t="n">
        <v>85301.65588042686</v>
      </c>
      <c r="J827" t="inlineStr">
        <is>
          <t>actif</t>
        </is>
      </c>
    </row>
    <row r="828">
      <c r="A828" t="inlineStr">
        <is>
          <t>CTR-00845</t>
        </is>
      </c>
      <c r="B828" t="inlineStr">
        <is>
          <t>CLI-00776</t>
        </is>
      </c>
      <c r="C828" t="inlineStr">
        <is>
          <t>Île-de-France</t>
        </is>
      </c>
      <c r="D828" t="inlineStr">
        <is>
          <t>materiel</t>
        </is>
      </c>
      <c r="E828" t="inlineStr">
        <is>
          <t>crédit-bail</t>
        </is>
      </c>
      <c r="F828" t="inlineStr">
        <is>
          <t>2025-03-27</t>
        </is>
      </c>
      <c r="G828" s="4" t="n">
        <v>98749.97</v>
      </c>
      <c r="H828" s="4">
        <f>MAX(0,G828-SUMIFS('Paiements contrat'!$B:$B,'Paiements contrat'!$A:$A,A828))</f>
        <v/>
      </c>
      <c r="I828" s="4" t="n">
        <v>60257.19</v>
      </c>
      <c r="J828" t="inlineStr">
        <is>
          <t>actif</t>
        </is>
      </c>
    </row>
    <row r="829">
      <c r="A829" t="inlineStr">
        <is>
          <t>CTR-00846</t>
        </is>
      </c>
      <c r="B829" t="inlineStr">
        <is>
          <t>CLI-01393</t>
        </is>
      </c>
      <c r="C829" t="inlineStr">
        <is>
          <t>Île-de-France</t>
        </is>
      </c>
      <c r="D829" t="inlineStr">
        <is>
          <t>auto</t>
        </is>
      </c>
      <c r="E829" t="inlineStr">
        <is>
          <t>LOA</t>
        </is>
      </c>
      <c r="F829" t="inlineStr">
        <is>
          <t>2025-12-15</t>
        </is>
      </c>
      <c r="G829" s="4" t="n">
        <v>12405.85</v>
      </c>
      <c r="H829" s="4">
        <f>MAX(0,G829-SUMIFS('Paiements contrat'!$B:$B,'Paiements contrat'!$A:$A,A829))</f>
        <v/>
      </c>
      <c r="I829" s="4" t="n">
        <v>11261.21</v>
      </c>
      <c r="J829" t="inlineStr">
        <is>
          <t>actif</t>
        </is>
      </c>
    </row>
    <row r="830">
      <c r="A830" t="inlineStr">
        <is>
          <t>CTR-00847</t>
        </is>
      </c>
      <c r="B830" t="inlineStr">
        <is>
          <t>CLI-00502</t>
        </is>
      </c>
      <c r="C830" t="inlineStr">
        <is>
          <t>Guadeloupe</t>
        </is>
      </c>
      <c r="D830" t="inlineStr">
        <is>
          <t>auto</t>
        </is>
      </c>
      <c r="E830" t="inlineStr">
        <is>
          <t>LLD</t>
        </is>
      </c>
      <c r="F830" t="inlineStr">
        <is>
          <t>2024-10-14</t>
        </is>
      </c>
      <c r="G830" s="4" t="n">
        <v>33230.63</v>
      </c>
      <c r="H830" s="4">
        <f>MAX(0,G830-SUMIFS('Paiements contrat'!$B:$B,'Paiements contrat'!$A:$A,A830))</f>
        <v/>
      </c>
      <c r="I830" s="4" t="n">
        <v>16882.37</v>
      </c>
      <c r="J830" t="inlineStr">
        <is>
          <t>actif</t>
        </is>
      </c>
    </row>
    <row r="831">
      <c r="A831" t="inlineStr">
        <is>
          <t>CTR-00848</t>
        </is>
      </c>
      <c r="B831" t="inlineStr">
        <is>
          <t>CLI-00165</t>
        </is>
      </c>
      <c r="C831" t="inlineStr">
        <is>
          <t>Île-de-France</t>
        </is>
      </c>
      <c r="D831" t="inlineStr">
        <is>
          <t>bateau</t>
        </is>
      </c>
      <c r="E831" t="inlineStr">
        <is>
          <t>LOA</t>
        </is>
      </c>
      <c r="F831" t="inlineStr">
        <is>
          <t>2025-12-24</t>
        </is>
      </c>
      <c r="G831" s="4" t="n">
        <v>57903.7</v>
      </c>
      <c r="H831" s="4">
        <f>MAX(0,G831-SUMIFS('Paiements contrat'!$B:$B,'Paiements contrat'!$A:$A,A831))</f>
        <v/>
      </c>
      <c r="I831" s="4" t="n">
        <v>51129.71</v>
      </c>
      <c r="J831" t="inlineStr">
        <is>
          <t>actif</t>
        </is>
      </c>
    </row>
    <row r="832">
      <c r="A832" t="inlineStr">
        <is>
          <t>CTR-00849</t>
        </is>
      </c>
      <c r="B832" t="inlineStr">
        <is>
          <t>CLI-00664</t>
        </is>
      </c>
      <c r="C832" t="inlineStr">
        <is>
          <t>Guadeloupe</t>
        </is>
      </c>
      <c r="D832" t="inlineStr">
        <is>
          <t>auto</t>
        </is>
      </c>
      <c r="E832" t="inlineStr">
        <is>
          <t>LLD</t>
        </is>
      </c>
      <c r="F832" t="inlineStr">
        <is>
          <t>2025-11-23</t>
        </is>
      </c>
      <c r="G832" s="4" t="n">
        <v>22351.62</v>
      </c>
      <c r="H832" s="4">
        <f>MAX(0,G832-SUMIFS('Paiements contrat'!$B:$B,'Paiements contrat'!$A:$A,A832))</f>
        <v/>
      </c>
      <c r="I832" s="4" t="n">
        <v>20068.65</v>
      </c>
      <c r="J832" t="inlineStr">
        <is>
          <t>actif</t>
        </is>
      </c>
    </row>
    <row r="833">
      <c r="A833" t="inlineStr">
        <is>
          <t>CTR-00850</t>
        </is>
      </c>
      <c r="B833" t="inlineStr">
        <is>
          <t>CLI-00913</t>
        </is>
      </c>
      <c r="C833" t="inlineStr">
        <is>
          <t>Guadeloupe</t>
        </is>
      </c>
      <c r="D833" t="inlineStr">
        <is>
          <t>auto</t>
        </is>
      </c>
      <c r="E833" t="inlineStr">
        <is>
          <t>LOA</t>
        </is>
      </c>
      <c r="F833" t="inlineStr">
        <is>
          <t>2024-06-25</t>
        </is>
      </c>
      <c r="G833" s="4" t="n">
        <v>41648.93</v>
      </c>
      <c r="H833" s="4">
        <f>MAX(0,G833-SUMIFS('Paiements contrat'!$B:$B,'Paiements contrat'!$A:$A,A833))</f>
        <v/>
      </c>
      <c r="I833" s="4" t="n">
        <v>0</v>
      </c>
      <c r="J833" t="inlineStr">
        <is>
          <t>soldé</t>
        </is>
      </c>
    </row>
    <row r="834">
      <c r="A834" t="inlineStr">
        <is>
          <t>CTR-00851</t>
        </is>
      </c>
      <c r="B834" t="inlineStr">
        <is>
          <t>CLI-00631</t>
        </is>
      </c>
      <c r="C834" t="inlineStr">
        <is>
          <t>Île-de-France</t>
        </is>
      </c>
      <c r="D834" t="inlineStr">
        <is>
          <t>materiel</t>
        </is>
      </c>
      <c r="E834" t="inlineStr">
        <is>
          <t>crédit-bail</t>
        </is>
      </c>
      <c r="F834" t="inlineStr">
        <is>
          <t>2025-10-07</t>
        </is>
      </c>
      <c r="G834" s="4" t="n">
        <v>27811.56</v>
      </c>
      <c r="H834" s="4">
        <f>MAX(0,G834-SUMIFS('Paiements contrat'!$B:$B,'Paiements contrat'!$A:$A,A834))</f>
        <v/>
      </c>
      <c r="I834" s="4" t="n">
        <v>22238.55</v>
      </c>
      <c r="J834" t="inlineStr">
        <is>
          <t>actif</t>
        </is>
      </c>
    </row>
    <row r="835">
      <c r="A835" t="inlineStr">
        <is>
          <t>CTR-00852</t>
        </is>
      </c>
      <c r="B835" t="inlineStr">
        <is>
          <t>CLI-00851</t>
        </is>
      </c>
      <c r="C835" t="inlineStr">
        <is>
          <t>Martinique</t>
        </is>
      </c>
      <c r="D835" t="inlineStr">
        <is>
          <t>materiel</t>
        </is>
      </c>
      <c r="E835" t="inlineStr">
        <is>
          <t>crédit-bail</t>
        </is>
      </c>
      <c r="F835" t="inlineStr">
        <is>
          <t>2025-11-26</t>
        </is>
      </c>
      <c r="G835" s="4" t="n">
        <v>129164.61</v>
      </c>
      <c r="H835" s="4">
        <f>MAX(0,G835-SUMIFS('Paiements contrat'!$B:$B,'Paiements contrat'!$A:$A,A835))</f>
        <v/>
      </c>
      <c r="I835" s="4" t="n">
        <v>108358.2</v>
      </c>
      <c r="J835" t="inlineStr">
        <is>
          <t>actif</t>
        </is>
      </c>
    </row>
    <row r="836">
      <c r="A836" t="inlineStr">
        <is>
          <t>CTR-00853</t>
        </is>
      </c>
      <c r="B836" t="inlineStr">
        <is>
          <t>CLI-01048</t>
        </is>
      </c>
      <c r="C836" t="inlineStr">
        <is>
          <t>Martinique</t>
        </is>
      </c>
      <c r="D836" t="inlineStr">
        <is>
          <t>materiel</t>
        </is>
      </c>
      <c r="E836" t="inlineStr">
        <is>
          <t>crédit-bail</t>
        </is>
      </c>
      <c r="F836" t="inlineStr">
        <is>
          <t>2025-07-20</t>
        </is>
      </c>
      <c r="G836" s="4" t="n">
        <v>29958.35</v>
      </c>
      <c r="H836" s="4">
        <f>MAX(0,G836-SUMIFS('Paiements contrat'!$B:$B,'Paiements contrat'!$A:$A,A836))</f>
        <v/>
      </c>
      <c r="I836" s="4" t="n">
        <v>27446.15</v>
      </c>
      <c r="J836" t="inlineStr">
        <is>
          <t>contentieux</t>
        </is>
      </c>
    </row>
    <row r="837">
      <c r="A837" t="inlineStr">
        <is>
          <t>CTR-00854</t>
        </is>
      </c>
      <c r="B837" t="inlineStr">
        <is>
          <t>CLI-01393</t>
        </is>
      </c>
      <c r="C837" t="inlineStr">
        <is>
          <t>Île-de-France</t>
        </is>
      </c>
      <c r="D837" t="inlineStr">
        <is>
          <t>bateau</t>
        </is>
      </c>
      <c r="E837" t="inlineStr">
        <is>
          <t>LOA</t>
        </is>
      </c>
      <c r="F837" t="inlineStr">
        <is>
          <t>2025-12-24</t>
        </is>
      </c>
      <c r="G837" s="4" t="n">
        <v>237918.54</v>
      </c>
      <c r="H837" s="4">
        <f>MAX(0,G837-SUMIFS('Paiements contrat'!$B:$B,'Paiements contrat'!$A:$A,A837))</f>
        <v/>
      </c>
      <c r="I837" s="4" t="n">
        <v>225306.88</v>
      </c>
      <c r="J837" t="inlineStr">
        <is>
          <t>actif</t>
        </is>
      </c>
    </row>
    <row r="838">
      <c r="A838" t="inlineStr">
        <is>
          <t>CTR-00855</t>
        </is>
      </c>
      <c r="B838" t="inlineStr">
        <is>
          <t>CLI-00889</t>
        </is>
      </c>
      <c r="C838" t="inlineStr">
        <is>
          <t>Guyane</t>
        </is>
      </c>
      <c r="D838" t="inlineStr">
        <is>
          <t>auto</t>
        </is>
      </c>
      <c r="E838" t="inlineStr">
        <is>
          <t>LLD</t>
        </is>
      </c>
      <c r="F838" t="inlineStr">
        <is>
          <t>2024-12-17</t>
        </is>
      </c>
      <c r="G838" s="4" t="n">
        <v>12878.67</v>
      </c>
      <c r="H838" s="4">
        <f>MAX(0,G838-SUMIFS('Paiements contrat'!$B:$B,'Paiements contrat'!$A:$A,A838))</f>
        <v/>
      </c>
      <c r="I838" s="4" t="n">
        <v>7996.28</v>
      </c>
      <c r="J838" t="inlineStr">
        <is>
          <t>contentieux</t>
        </is>
      </c>
    </row>
    <row r="839">
      <c r="A839" t="inlineStr">
        <is>
          <t>CTR-00856</t>
        </is>
      </c>
      <c r="B839" t="inlineStr">
        <is>
          <t>CLI-01015</t>
        </is>
      </c>
      <c r="C839" t="inlineStr">
        <is>
          <t>Île-de-France</t>
        </is>
      </c>
      <c r="D839" t="inlineStr">
        <is>
          <t>materiel</t>
        </is>
      </c>
      <c r="E839" t="inlineStr">
        <is>
          <t>crédit-bail</t>
        </is>
      </c>
      <c r="F839" t="inlineStr">
        <is>
          <t>2024-09-15</t>
        </is>
      </c>
      <c r="G839" s="4" t="n">
        <v>70034.99000000001</v>
      </c>
      <c r="H839" s="4">
        <f>MAX(0,G839-SUMIFS('Paiements contrat'!$B:$B,'Paiements contrat'!$A:$A,A839))</f>
        <v/>
      </c>
      <c r="I839" s="4" t="n">
        <v>19102.6615739651</v>
      </c>
      <c r="J839" t="inlineStr">
        <is>
          <t>actif</t>
        </is>
      </c>
    </row>
    <row r="840">
      <c r="A840" t="inlineStr">
        <is>
          <t>CTR-00857</t>
        </is>
      </c>
      <c r="B840" t="inlineStr">
        <is>
          <t>CLI-00639</t>
        </is>
      </c>
      <c r="C840" t="inlineStr">
        <is>
          <t>Île-de-France</t>
        </is>
      </c>
      <c r="D840" t="inlineStr">
        <is>
          <t>auto</t>
        </is>
      </c>
      <c r="E840" t="inlineStr">
        <is>
          <t>LOA</t>
        </is>
      </c>
      <c r="F840" t="inlineStr">
        <is>
          <t>2025-12-16</t>
        </is>
      </c>
      <c r="G840" s="4" t="n">
        <v>66420.25</v>
      </c>
      <c r="H840" s="4">
        <f>MAX(0,G840-SUMIFS('Paiements contrat'!$B:$B,'Paiements contrat'!$A:$A,A840))</f>
        <v/>
      </c>
      <c r="I840" s="4" t="n">
        <v>60084.8</v>
      </c>
      <c r="J840" t="inlineStr">
        <is>
          <t>actif</t>
        </is>
      </c>
    </row>
    <row r="841">
      <c r="A841" t="inlineStr">
        <is>
          <t>CTR-00858</t>
        </is>
      </c>
      <c r="B841" t="inlineStr">
        <is>
          <t>CLI-00337</t>
        </is>
      </c>
      <c r="C841" t="inlineStr">
        <is>
          <t>Réunion</t>
        </is>
      </c>
      <c r="D841" t="inlineStr">
        <is>
          <t>auto</t>
        </is>
      </c>
      <c r="E841" t="inlineStr">
        <is>
          <t>LOA</t>
        </is>
      </c>
      <c r="F841" t="inlineStr">
        <is>
          <t>2025-11-23</t>
        </is>
      </c>
      <c r="G841" s="4" t="n">
        <v>38878.49</v>
      </c>
      <c r="H841" s="4">
        <f>MAX(0,G841-SUMIFS('Paiements contrat'!$B:$B,'Paiements contrat'!$A:$A,A841))</f>
        <v/>
      </c>
      <c r="I841" s="4" t="n">
        <v>32588.96</v>
      </c>
      <c r="J841" t="inlineStr">
        <is>
          <t>actif</t>
        </is>
      </c>
    </row>
    <row r="842">
      <c r="A842" t="inlineStr">
        <is>
          <t>CTR-00859</t>
        </is>
      </c>
      <c r="B842" t="inlineStr">
        <is>
          <t>CLI-00144</t>
        </is>
      </c>
      <c r="C842" t="inlineStr">
        <is>
          <t>Île-de-France</t>
        </is>
      </c>
      <c r="D842" t="inlineStr">
        <is>
          <t>auto</t>
        </is>
      </c>
      <c r="E842" t="inlineStr">
        <is>
          <t>LOA</t>
        </is>
      </c>
      <c r="F842" t="inlineStr">
        <is>
          <t>2024-05-26</t>
        </is>
      </c>
      <c r="G842" s="4" t="n">
        <v>69889.5</v>
      </c>
      <c r="H842" s="4">
        <f>MAX(0,G842-SUMIFS('Paiements contrat'!$B:$B,'Paiements contrat'!$A:$A,A842))</f>
        <v/>
      </c>
      <c r="I842" s="4" t="n">
        <v>9015.260000000002</v>
      </c>
      <c r="J842" t="inlineStr">
        <is>
          <t>actif</t>
        </is>
      </c>
    </row>
    <row r="843">
      <c r="A843" t="inlineStr">
        <is>
          <t>CTR-00860</t>
        </is>
      </c>
      <c r="B843" t="inlineStr">
        <is>
          <t>CLI-01087</t>
        </is>
      </c>
      <c r="C843" t="inlineStr">
        <is>
          <t>Île-de-France</t>
        </is>
      </c>
      <c r="D843" t="inlineStr">
        <is>
          <t>auto</t>
        </is>
      </c>
      <c r="E843" t="inlineStr">
        <is>
          <t>LOA</t>
        </is>
      </c>
      <c r="F843" t="inlineStr">
        <is>
          <t>2024-07-23</t>
        </is>
      </c>
      <c r="G843" s="4" t="n">
        <v>12663.49</v>
      </c>
      <c r="H843" s="4">
        <f>MAX(0,G843-SUMIFS('Paiements contrat'!$B:$B,'Paiements contrat'!$A:$A,A843))</f>
        <v/>
      </c>
      <c r="I843" s="4" t="n">
        <v>7507.097527113852</v>
      </c>
      <c r="J843" t="inlineStr">
        <is>
          <t>actif</t>
        </is>
      </c>
    </row>
    <row r="844">
      <c r="A844" t="inlineStr">
        <is>
          <t>CTR-00861</t>
        </is>
      </c>
      <c r="B844" t="inlineStr">
        <is>
          <t>CLI-01243</t>
        </is>
      </c>
      <c r="C844" t="inlineStr">
        <is>
          <t>Île-de-France</t>
        </is>
      </c>
      <c r="D844" t="inlineStr">
        <is>
          <t>auto</t>
        </is>
      </c>
      <c r="E844" t="inlineStr">
        <is>
          <t>LOA</t>
        </is>
      </c>
      <c r="F844" t="inlineStr">
        <is>
          <t>2024-07-15</t>
        </is>
      </c>
      <c r="G844" s="4" t="n">
        <v>31332.77</v>
      </c>
      <c r="H844" s="4">
        <f>MAX(0,G844-SUMIFS('Paiements contrat'!$B:$B,'Paiements contrat'!$A:$A,A844))</f>
        <v/>
      </c>
      <c r="I844" s="4" t="n">
        <v>22566.29</v>
      </c>
      <c r="J844" t="inlineStr">
        <is>
          <t>actif</t>
        </is>
      </c>
    </row>
    <row r="845">
      <c r="A845" t="inlineStr">
        <is>
          <t>CTR-00862</t>
        </is>
      </c>
      <c r="B845" t="inlineStr">
        <is>
          <t>CLI-01094</t>
        </is>
      </c>
      <c r="C845" t="inlineStr">
        <is>
          <t>Martinique</t>
        </is>
      </c>
      <c r="D845" t="inlineStr">
        <is>
          <t>auto</t>
        </is>
      </c>
      <c r="E845" t="inlineStr">
        <is>
          <t>LOA</t>
        </is>
      </c>
      <c r="F845" t="inlineStr">
        <is>
          <t>2024-04-04</t>
        </is>
      </c>
      <c r="G845" s="4" t="n">
        <v>66793.49000000001</v>
      </c>
      <c r="H845" s="4">
        <f>MAX(0,G845-SUMIFS('Paiements contrat'!$B:$B,'Paiements contrat'!$A:$A,A845))</f>
        <v/>
      </c>
      <c r="I845" s="4" t="n">
        <v>29218.61000000001</v>
      </c>
      <c r="J845" t="inlineStr">
        <is>
          <t>contentieux</t>
        </is>
      </c>
    </row>
    <row r="846">
      <c r="A846" t="inlineStr">
        <is>
          <t>CTR-00863</t>
        </is>
      </c>
      <c r="B846" t="inlineStr">
        <is>
          <t>CLI-00136</t>
        </is>
      </c>
      <c r="C846" t="inlineStr">
        <is>
          <t>Île-de-France</t>
        </is>
      </c>
      <c r="D846" t="inlineStr">
        <is>
          <t>auto</t>
        </is>
      </c>
      <c r="E846" t="inlineStr">
        <is>
          <t>LOA</t>
        </is>
      </c>
      <c r="F846" t="inlineStr">
        <is>
          <t>2024-06-23</t>
        </is>
      </c>
      <c r="G846" s="4" t="n">
        <v>36180.55</v>
      </c>
      <c r="H846" s="4">
        <f>MAX(0,G846-SUMIFS('Paiements contrat'!$B:$B,'Paiements contrat'!$A:$A,A846))</f>
        <v/>
      </c>
      <c r="I846" s="4" t="n">
        <v>25737.6290250903</v>
      </c>
      <c r="J846" t="inlineStr">
        <is>
          <t>actif</t>
        </is>
      </c>
    </row>
    <row r="847">
      <c r="A847" t="inlineStr">
        <is>
          <t>CTR-00864</t>
        </is>
      </c>
      <c r="B847" t="inlineStr">
        <is>
          <t>CLI-01076</t>
        </is>
      </c>
      <c r="C847" t="inlineStr">
        <is>
          <t>Réunion</t>
        </is>
      </c>
      <c r="D847" t="inlineStr">
        <is>
          <t>auto</t>
        </is>
      </c>
      <c r="E847" t="inlineStr">
        <is>
          <t>LOA</t>
        </is>
      </c>
      <c r="F847" t="inlineStr">
        <is>
          <t>2025-01-04</t>
        </is>
      </c>
      <c r="G847" s="4" t="n">
        <v>13097.28</v>
      </c>
      <c r="H847" s="4">
        <f>MAX(0,G847-SUMIFS('Paiements contrat'!$B:$B,'Paiements contrat'!$A:$A,A847))</f>
        <v/>
      </c>
      <c r="I847" s="4" t="n">
        <v>8190.150000000001</v>
      </c>
      <c r="J847" t="inlineStr">
        <is>
          <t>actif</t>
        </is>
      </c>
    </row>
    <row r="848">
      <c r="A848" t="inlineStr">
        <is>
          <t>CTR-00865</t>
        </is>
      </c>
      <c r="B848" t="inlineStr">
        <is>
          <t>CLI-00283</t>
        </is>
      </c>
      <c r="C848" t="inlineStr">
        <is>
          <t>Île-de-France</t>
        </is>
      </c>
      <c r="D848" t="inlineStr">
        <is>
          <t>auto</t>
        </is>
      </c>
      <c r="E848" t="inlineStr">
        <is>
          <t>LLD</t>
        </is>
      </c>
      <c r="F848" t="inlineStr">
        <is>
          <t>2025-03-14</t>
        </is>
      </c>
      <c r="G848" s="4" t="n">
        <v>30826.18</v>
      </c>
      <c r="H848" s="4">
        <f>MAX(0,G848-SUMIFS('Paiements contrat'!$B:$B,'Paiements contrat'!$A:$A,A848))</f>
        <v/>
      </c>
      <c r="I848" s="4" t="n">
        <v>17276.44</v>
      </c>
      <c r="J848" t="inlineStr">
        <is>
          <t>actif</t>
        </is>
      </c>
    </row>
    <row r="849">
      <c r="A849" t="inlineStr">
        <is>
          <t>CTR-00866</t>
        </is>
      </c>
      <c r="B849" t="inlineStr">
        <is>
          <t>CLI-01128</t>
        </is>
      </c>
      <c r="C849" t="inlineStr">
        <is>
          <t>Île-de-France</t>
        </is>
      </c>
      <c r="D849" t="inlineStr">
        <is>
          <t>materiel</t>
        </is>
      </c>
      <c r="E849" t="inlineStr">
        <is>
          <t>crédit-bail</t>
        </is>
      </c>
      <c r="F849" t="inlineStr">
        <is>
          <t>2025-04-16</t>
        </is>
      </c>
      <c r="G849" s="4" t="n">
        <v>158779.2</v>
      </c>
      <c r="H849" s="4">
        <f>MAX(0,G849-SUMIFS('Paiements contrat'!$B:$B,'Paiements contrat'!$A:$A,A849))</f>
        <v/>
      </c>
      <c r="I849" s="4" t="n">
        <v>87216.45000000001</v>
      </c>
      <c r="J849" t="inlineStr">
        <is>
          <t>actif</t>
        </is>
      </c>
    </row>
    <row r="850">
      <c r="A850" t="inlineStr">
        <is>
          <t>CTR-00867</t>
        </is>
      </c>
      <c r="B850" t="inlineStr">
        <is>
          <t>CLI-00072</t>
        </is>
      </c>
      <c r="C850" t="inlineStr">
        <is>
          <t>Île-de-France</t>
        </is>
      </c>
      <c r="D850" t="inlineStr">
        <is>
          <t>bateau</t>
        </is>
      </c>
      <c r="E850" t="inlineStr">
        <is>
          <t>LOA</t>
        </is>
      </c>
      <c r="F850" t="inlineStr">
        <is>
          <t>2024-10-08</t>
        </is>
      </c>
      <c r="G850" s="4" t="n">
        <v>105723.71</v>
      </c>
      <c r="H850" s="4">
        <f>MAX(0,G850-SUMIFS('Paiements contrat'!$B:$B,'Paiements contrat'!$A:$A,A850))</f>
        <v/>
      </c>
      <c r="I850" s="4" t="n">
        <v>61878.15000000001</v>
      </c>
      <c r="J850" t="inlineStr">
        <is>
          <t>actif</t>
        </is>
      </c>
    </row>
    <row r="851">
      <c r="A851" t="inlineStr">
        <is>
          <t>CTR-00868</t>
        </is>
      </c>
      <c r="B851" t="inlineStr">
        <is>
          <t>CLI-00168</t>
        </is>
      </c>
      <c r="C851" t="inlineStr">
        <is>
          <t>Île-de-France</t>
        </is>
      </c>
      <c r="D851" t="inlineStr">
        <is>
          <t>auto</t>
        </is>
      </c>
      <c r="E851" t="inlineStr">
        <is>
          <t>LOA</t>
        </is>
      </c>
      <c r="F851" t="inlineStr">
        <is>
          <t>2025-06-09</t>
        </is>
      </c>
      <c r="G851" s="4" t="n">
        <v>60564.83</v>
      </c>
      <c r="H851" s="4">
        <f>MAX(0,G851-SUMIFS('Paiements contrat'!$B:$B,'Paiements contrat'!$A:$A,A851))</f>
        <v/>
      </c>
      <c r="I851" s="4" t="n">
        <v>38980.26</v>
      </c>
      <c r="J851" t="inlineStr">
        <is>
          <t>actif</t>
        </is>
      </c>
    </row>
    <row r="852">
      <c r="A852" t="inlineStr">
        <is>
          <t>CTR-00869</t>
        </is>
      </c>
      <c r="B852" t="inlineStr">
        <is>
          <t>CLI-01421</t>
        </is>
      </c>
      <c r="C852" t="inlineStr">
        <is>
          <t>Île-de-France</t>
        </is>
      </c>
      <c r="D852" t="inlineStr">
        <is>
          <t>auto</t>
        </is>
      </c>
      <c r="E852" t="inlineStr">
        <is>
          <t>LOA</t>
        </is>
      </c>
      <c r="F852" t="inlineStr">
        <is>
          <t>2024-05-16</t>
        </is>
      </c>
      <c r="G852" s="4" t="n">
        <v>9723.08</v>
      </c>
      <c r="H852" s="4">
        <f>MAX(0,G852-SUMIFS('Paiements contrat'!$B:$B,'Paiements contrat'!$A:$A,A852))</f>
        <v/>
      </c>
      <c r="I852" s="4" t="n">
        <v>3954</v>
      </c>
      <c r="J852" t="inlineStr">
        <is>
          <t>actif</t>
        </is>
      </c>
    </row>
    <row r="853">
      <c r="A853" t="inlineStr">
        <is>
          <t>CTR-00870</t>
        </is>
      </c>
      <c r="B853" t="inlineStr">
        <is>
          <t>CLI-00055</t>
        </is>
      </c>
      <c r="C853" t="inlineStr">
        <is>
          <t>Île-de-France</t>
        </is>
      </c>
      <c r="D853" t="inlineStr">
        <is>
          <t>materiel</t>
        </is>
      </c>
      <c r="E853" t="inlineStr">
        <is>
          <t>crédit-bail</t>
        </is>
      </c>
      <c r="F853" t="inlineStr">
        <is>
          <t>2024-08-03</t>
        </is>
      </c>
      <c r="G853" s="4" t="n">
        <v>137281.58</v>
      </c>
      <c r="H853" s="4">
        <f>MAX(0,G853-SUMIFS('Paiements contrat'!$B:$B,'Paiements contrat'!$A:$A,A853))</f>
        <v/>
      </c>
      <c r="I853" s="4" t="n">
        <v>35216.87999999999</v>
      </c>
      <c r="J853" t="inlineStr">
        <is>
          <t>actif</t>
        </is>
      </c>
    </row>
    <row r="854">
      <c r="A854" t="inlineStr">
        <is>
          <t>CTR-00871</t>
        </is>
      </c>
      <c r="B854" t="inlineStr">
        <is>
          <t>CLI-01309</t>
        </is>
      </c>
      <c r="C854" t="inlineStr">
        <is>
          <t>Guadeloupe</t>
        </is>
      </c>
      <c r="D854" t="inlineStr">
        <is>
          <t>materiel</t>
        </is>
      </c>
      <c r="E854" t="inlineStr">
        <is>
          <t>crédit-bail</t>
        </is>
      </c>
      <c r="F854" t="inlineStr">
        <is>
          <t>2024-09-13</t>
        </is>
      </c>
      <c r="G854" s="4" t="n">
        <v>115862.82</v>
      </c>
      <c r="H854" s="4">
        <f>MAX(0,G854-SUMIFS('Paiements contrat'!$B:$B,'Paiements contrat'!$A:$A,A854))</f>
        <v/>
      </c>
      <c r="I854" s="4" t="n">
        <v>68746</v>
      </c>
      <c r="J854" t="inlineStr">
        <is>
          <t>actif</t>
        </is>
      </c>
    </row>
    <row r="855">
      <c r="A855" t="inlineStr">
        <is>
          <t>CTR-00872</t>
        </is>
      </c>
      <c r="B855" t="inlineStr">
        <is>
          <t>CLI-01433</t>
        </is>
      </c>
      <c r="C855" t="inlineStr">
        <is>
          <t>Île-de-France</t>
        </is>
      </c>
      <c r="D855" t="inlineStr">
        <is>
          <t>materiel</t>
        </is>
      </c>
      <c r="E855" t="inlineStr">
        <is>
          <t>crédit-bail</t>
        </is>
      </c>
      <c r="F855" t="inlineStr">
        <is>
          <t>2024-10-19</t>
        </is>
      </c>
      <c r="G855" s="4" t="n">
        <v>88941.94</v>
      </c>
      <c r="H855" s="4">
        <f>MAX(0,G855-SUMIFS('Paiements contrat'!$B:$B,'Paiements contrat'!$A:$A,A855))</f>
        <v/>
      </c>
      <c r="I855" s="4" t="n">
        <v>41680.4</v>
      </c>
      <c r="J855" t="inlineStr">
        <is>
          <t>actif</t>
        </is>
      </c>
    </row>
    <row r="856">
      <c r="A856" t="inlineStr">
        <is>
          <t>CTR-00873</t>
        </is>
      </c>
      <c r="B856" t="inlineStr">
        <is>
          <t>CLI-00648</t>
        </is>
      </c>
      <c r="C856" t="inlineStr">
        <is>
          <t>Île-de-France</t>
        </is>
      </c>
      <c r="D856" t="inlineStr">
        <is>
          <t>materiel</t>
        </is>
      </c>
      <c r="E856" t="inlineStr">
        <is>
          <t>crédit-bail</t>
        </is>
      </c>
      <c r="F856" t="inlineStr">
        <is>
          <t>2025-02-08</t>
        </is>
      </c>
      <c r="G856" s="4" t="n">
        <v>39223.9</v>
      </c>
      <c r="H856" s="4">
        <f>MAX(0,G856-SUMIFS('Paiements contrat'!$B:$B,'Paiements contrat'!$A:$A,A856))</f>
        <v/>
      </c>
      <c r="I856" s="4" t="n">
        <v>27610.6</v>
      </c>
      <c r="J856" t="inlineStr">
        <is>
          <t>contentieux</t>
        </is>
      </c>
    </row>
    <row r="857">
      <c r="A857" t="inlineStr">
        <is>
          <t>CTR-00874</t>
        </is>
      </c>
      <c r="B857" t="inlineStr">
        <is>
          <t>CLI-00230</t>
        </is>
      </c>
      <c r="C857" t="inlineStr">
        <is>
          <t>Guadeloupe</t>
        </is>
      </c>
      <c r="D857" t="inlineStr">
        <is>
          <t>auto</t>
        </is>
      </c>
      <c r="E857" t="inlineStr">
        <is>
          <t>LOA</t>
        </is>
      </c>
      <c r="F857" t="inlineStr">
        <is>
          <t>2024-04-26</t>
        </is>
      </c>
      <c r="G857" s="4" t="n">
        <v>26177.27</v>
      </c>
      <c r="H857" s="4">
        <f>MAX(0,G857-SUMIFS('Paiements contrat'!$B:$B,'Paiements contrat'!$A:$A,A857))</f>
        <v/>
      </c>
      <c r="I857" s="4" t="n">
        <v>11016.44330430008</v>
      </c>
      <c r="J857" t="inlineStr">
        <is>
          <t>actif</t>
        </is>
      </c>
    </row>
    <row r="858">
      <c r="A858" t="inlineStr">
        <is>
          <t>CTR-00875</t>
        </is>
      </c>
      <c r="B858" t="inlineStr">
        <is>
          <t>CLI-01426</t>
        </is>
      </c>
      <c r="C858" t="inlineStr">
        <is>
          <t>Guadeloupe</t>
        </is>
      </c>
      <c r="D858" t="inlineStr">
        <is>
          <t>auto</t>
        </is>
      </c>
      <c r="E858" t="inlineStr">
        <is>
          <t>LLD</t>
        </is>
      </c>
      <c r="F858" t="inlineStr">
        <is>
          <t>2024-08-01</t>
        </is>
      </c>
      <c r="G858" s="4" t="n">
        <v>71936.3</v>
      </c>
      <c r="H858" s="4">
        <f>MAX(0,G858-SUMIFS('Paiements contrat'!$B:$B,'Paiements contrat'!$A:$A,A858))</f>
        <v/>
      </c>
      <c r="I858" s="4" t="n">
        <v>15613.43</v>
      </c>
      <c r="J858" t="inlineStr">
        <is>
          <t>soldé</t>
        </is>
      </c>
    </row>
    <row r="859">
      <c r="A859" t="inlineStr">
        <is>
          <t>CTR-00876</t>
        </is>
      </c>
      <c r="B859" t="inlineStr">
        <is>
          <t>CLI-01157</t>
        </is>
      </c>
      <c r="C859" t="inlineStr">
        <is>
          <t>Île-de-France</t>
        </is>
      </c>
      <c r="D859" t="inlineStr">
        <is>
          <t>materiel</t>
        </is>
      </c>
      <c r="E859" t="inlineStr">
        <is>
          <t>crédit-bail</t>
        </is>
      </c>
      <c r="F859" t="inlineStr">
        <is>
          <t>2024-08-09</t>
        </is>
      </c>
      <c r="G859" s="4" t="n">
        <v>16496.23</v>
      </c>
      <c r="H859" s="4">
        <f>MAX(0,G859-SUMIFS('Paiements contrat'!$B:$B,'Paiements contrat'!$A:$A,A859))</f>
        <v/>
      </c>
      <c r="I859" s="4" t="n">
        <v>9025.34</v>
      </c>
      <c r="J859" t="inlineStr">
        <is>
          <t>actif</t>
        </is>
      </c>
    </row>
    <row r="860">
      <c r="A860" t="inlineStr">
        <is>
          <t>CTR-00877</t>
        </is>
      </c>
      <c r="B860" t="inlineStr">
        <is>
          <t>CLI-00876</t>
        </is>
      </c>
      <c r="C860" t="inlineStr">
        <is>
          <t>Île-de-France</t>
        </is>
      </c>
      <c r="D860" t="inlineStr">
        <is>
          <t>materiel</t>
        </is>
      </c>
      <c r="E860" t="inlineStr">
        <is>
          <t>crédit-bail</t>
        </is>
      </c>
      <c r="F860" t="inlineStr">
        <is>
          <t>2026-01-04</t>
        </is>
      </c>
      <c r="G860" s="4" t="n">
        <v>137700.64</v>
      </c>
      <c r="H860" s="4">
        <f>MAX(0,G860-SUMIFS('Paiements contrat'!$B:$B,'Paiements contrat'!$A:$A,A860))</f>
        <v/>
      </c>
      <c r="I860" s="4" t="n">
        <v>132213.51</v>
      </c>
      <c r="J860" t="inlineStr">
        <is>
          <t>actif</t>
        </is>
      </c>
    </row>
    <row r="861">
      <c r="A861" t="inlineStr">
        <is>
          <t>CTR-00878</t>
        </is>
      </c>
      <c r="B861" t="inlineStr">
        <is>
          <t>CLI-00774</t>
        </is>
      </c>
      <c r="C861" t="inlineStr">
        <is>
          <t>Réunion</t>
        </is>
      </c>
      <c r="D861" t="inlineStr">
        <is>
          <t>auto</t>
        </is>
      </c>
      <c r="E861" t="inlineStr">
        <is>
          <t>LLD</t>
        </is>
      </c>
      <c r="F861" t="inlineStr">
        <is>
          <t>2025-11-09</t>
        </is>
      </c>
      <c r="G861" s="4" t="n">
        <v>27550.17</v>
      </c>
      <c r="H861" s="4">
        <f>MAX(0,G861-SUMIFS('Paiements contrat'!$B:$B,'Paiements contrat'!$A:$A,A861))</f>
        <v/>
      </c>
      <c r="I861" s="4" t="n">
        <v>24934.77</v>
      </c>
      <c r="J861" t="inlineStr">
        <is>
          <t>actif</t>
        </is>
      </c>
    </row>
    <row r="862">
      <c r="A862" t="inlineStr">
        <is>
          <t>CTR-00879</t>
        </is>
      </c>
      <c r="B862" t="inlineStr">
        <is>
          <t>CLI-00731</t>
        </is>
      </c>
      <c r="C862" t="inlineStr">
        <is>
          <t>Réunion</t>
        </is>
      </c>
      <c r="D862" t="inlineStr">
        <is>
          <t>auto</t>
        </is>
      </c>
      <c r="E862" t="inlineStr">
        <is>
          <t>LOA</t>
        </is>
      </c>
      <c r="F862" t="inlineStr">
        <is>
          <t>2025-04-05</t>
        </is>
      </c>
      <c r="G862" s="4" t="n">
        <v>60783.77</v>
      </c>
      <c r="H862" s="4">
        <f>MAX(0,G862-SUMIFS('Paiements contrat'!$B:$B,'Paiements contrat'!$A:$A,A862))</f>
        <v/>
      </c>
      <c r="I862" s="4" t="n">
        <v>36166</v>
      </c>
      <c r="J862" t="inlineStr">
        <is>
          <t>actif</t>
        </is>
      </c>
    </row>
    <row r="863">
      <c r="A863" t="inlineStr">
        <is>
          <t>CTR-00880</t>
        </is>
      </c>
      <c r="B863" t="inlineStr">
        <is>
          <t>CLI-00784</t>
        </is>
      </c>
      <c r="C863" t="inlineStr">
        <is>
          <t>Île-de-France</t>
        </is>
      </c>
      <c r="D863" t="inlineStr">
        <is>
          <t>auto</t>
        </is>
      </c>
      <c r="E863" t="inlineStr">
        <is>
          <t>LOA</t>
        </is>
      </c>
      <c r="F863" t="inlineStr">
        <is>
          <t>2024-12-14</t>
        </is>
      </c>
      <c r="G863" s="4" t="n">
        <v>37943.88</v>
      </c>
      <c r="H863" s="4">
        <f>MAX(0,G863-SUMIFS('Paiements contrat'!$B:$B,'Paiements contrat'!$A:$A,A863))</f>
        <v/>
      </c>
      <c r="I863" s="4" t="n">
        <v>15757.29313227759</v>
      </c>
      <c r="J863" t="inlineStr">
        <is>
          <t>actif</t>
        </is>
      </c>
    </row>
    <row r="864">
      <c r="A864" t="inlineStr">
        <is>
          <t>CTR-00881</t>
        </is>
      </c>
      <c r="B864" t="inlineStr">
        <is>
          <t>CLI-00328</t>
        </is>
      </c>
      <c r="C864" t="inlineStr">
        <is>
          <t>Île-de-France</t>
        </is>
      </c>
      <c r="D864" t="inlineStr">
        <is>
          <t>auto</t>
        </is>
      </c>
      <c r="E864" t="inlineStr">
        <is>
          <t>LOA</t>
        </is>
      </c>
      <c r="F864" t="inlineStr">
        <is>
          <t>2024-10-13</t>
        </is>
      </c>
      <c r="G864" s="4" t="n">
        <v>30293.15</v>
      </c>
      <c r="H864" s="4">
        <f>MAX(0,G864-SUMIFS('Paiements contrat'!$B:$B,'Paiements contrat'!$A:$A,A864))</f>
        <v/>
      </c>
      <c r="I864" s="4" t="n">
        <v>20570.03361361213</v>
      </c>
      <c r="J864" t="inlineStr">
        <is>
          <t>actif</t>
        </is>
      </c>
    </row>
    <row r="865">
      <c r="A865" t="inlineStr">
        <is>
          <t>CTR-00882</t>
        </is>
      </c>
      <c r="B865" t="inlineStr">
        <is>
          <t>CLI-00622</t>
        </is>
      </c>
      <c r="C865" t="inlineStr">
        <is>
          <t>Île-de-France</t>
        </is>
      </c>
      <c r="D865" t="inlineStr">
        <is>
          <t>materiel</t>
        </is>
      </c>
      <c r="E865" t="inlineStr">
        <is>
          <t>crédit-bail</t>
        </is>
      </c>
      <c r="F865" t="inlineStr">
        <is>
          <t>2025-11-08</t>
        </is>
      </c>
      <c r="G865" s="4" t="n">
        <v>90457.88</v>
      </c>
      <c r="H865" s="4">
        <f>MAX(0,G865-SUMIFS('Paiements contrat'!$B:$B,'Paiements contrat'!$A:$A,A865))</f>
        <v/>
      </c>
      <c r="I865" s="4" t="n">
        <v>75773.91</v>
      </c>
      <c r="J865" t="inlineStr">
        <is>
          <t>contentieux</t>
        </is>
      </c>
    </row>
    <row r="866">
      <c r="A866" t="inlineStr">
        <is>
          <t>CTR-00883</t>
        </is>
      </c>
      <c r="B866" t="inlineStr">
        <is>
          <t>CLI-00286</t>
        </is>
      </c>
      <c r="C866" t="inlineStr">
        <is>
          <t>Île-de-France</t>
        </is>
      </c>
      <c r="D866" t="inlineStr">
        <is>
          <t>materiel</t>
        </is>
      </c>
      <c r="E866" t="inlineStr">
        <is>
          <t>crédit-bail</t>
        </is>
      </c>
      <c r="F866" t="inlineStr">
        <is>
          <t>2025-11-22</t>
        </is>
      </c>
      <c r="G866" s="4" t="n">
        <v>19378.35</v>
      </c>
      <c r="H866" s="4">
        <f>MAX(0,G866-SUMIFS('Paiements contrat'!$B:$B,'Paiements contrat'!$A:$A,A866))</f>
        <v/>
      </c>
      <c r="I866" s="4" t="n">
        <v>18549.3</v>
      </c>
      <c r="J866" t="inlineStr">
        <is>
          <t>actif</t>
        </is>
      </c>
    </row>
    <row r="867">
      <c r="A867" t="inlineStr">
        <is>
          <t>CTR-00884</t>
        </is>
      </c>
      <c r="B867" t="inlineStr">
        <is>
          <t>CLI-00223</t>
        </is>
      </c>
      <c r="C867" t="inlineStr">
        <is>
          <t>Île-de-France</t>
        </is>
      </c>
      <c r="D867" t="inlineStr">
        <is>
          <t>auto</t>
        </is>
      </c>
      <c r="E867" t="inlineStr">
        <is>
          <t>LOA</t>
        </is>
      </c>
      <c r="F867" t="inlineStr">
        <is>
          <t>2025-07-05</t>
        </is>
      </c>
      <c r="G867" s="4" t="n">
        <v>55309.45</v>
      </c>
      <c r="H867" s="4">
        <f>MAX(0,G867-SUMIFS('Paiements contrat'!$B:$B,'Paiements contrat'!$A:$A,A867))</f>
        <v/>
      </c>
      <c r="I867" s="4" t="n">
        <v>44852.67999999999</v>
      </c>
      <c r="J867" t="inlineStr">
        <is>
          <t>actif</t>
        </is>
      </c>
    </row>
    <row r="868">
      <c r="A868" t="inlineStr">
        <is>
          <t>CTR-00885</t>
        </is>
      </c>
      <c r="B868" t="inlineStr">
        <is>
          <t>CLI-00984</t>
        </is>
      </c>
      <c r="C868" t="inlineStr">
        <is>
          <t>Île-de-France</t>
        </is>
      </c>
      <c r="D868" t="inlineStr">
        <is>
          <t>materiel</t>
        </is>
      </c>
      <c r="E868" t="inlineStr">
        <is>
          <t>crédit-bail</t>
        </is>
      </c>
      <c r="F868" t="inlineStr">
        <is>
          <t>2025-12-14</t>
        </is>
      </c>
      <c r="G868" s="4" t="n">
        <v>48469.13</v>
      </c>
      <c r="H868" s="4">
        <f>MAX(0,G868-SUMIFS('Paiements contrat'!$B:$B,'Paiements contrat'!$A:$A,A868))</f>
        <v/>
      </c>
      <c r="I868" s="4" t="n">
        <v>44651.87</v>
      </c>
      <c r="J868" t="inlineStr">
        <is>
          <t>actif</t>
        </is>
      </c>
    </row>
    <row r="869">
      <c r="A869" t="inlineStr">
        <is>
          <t>CTR-00886</t>
        </is>
      </c>
      <c r="B869" t="inlineStr">
        <is>
          <t>CLI-00397</t>
        </is>
      </c>
      <c r="C869" t="inlineStr">
        <is>
          <t>Réunion</t>
        </is>
      </c>
      <c r="D869" t="inlineStr">
        <is>
          <t>auto</t>
        </is>
      </c>
      <c r="E869" t="inlineStr">
        <is>
          <t>LLD</t>
        </is>
      </c>
      <c r="F869" t="inlineStr">
        <is>
          <t>2024-08-05</t>
        </is>
      </c>
      <c r="G869" s="4" t="n">
        <v>17939.48</v>
      </c>
      <c r="H869" s="4">
        <f>MAX(0,G869-SUMIFS('Paiements contrat'!$B:$B,'Paiements contrat'!$A:$A,A869))</f>
        <v/>
      </c>
      <c r="I869" s="4" t="n">
        <v>4548.299999999999</v>
      </c>
      <c r="J869" t="inlineStr">
        <is>
          <t>actif</t>
        </is>
      </c>
    </row>
    <row r="870">
      <c r="A870" t="inlineStr">
        <is>
          <t>CTR-00887</t>
        </is>
      </c>
      <c r="B870" t="inlineStr">
        <is>
          <t>CLI-01003</t>
        </is>
      </c>
      <c r="C870" t="inlineStr">
        <is>
          <t>Réunion</t>
        </is>
      </c>
      <c r="D870" t="inlineStr">
        <is>
          <t>auto</t>
        </is>
      </c>
      <c r="E870" t="inlineStr">
        <is>
          <t>LOA</t>
        </is>
      </c>
      <c r="F870" t="inlineStr">
        <is>
          <t>2025-05-23</t>
        </is>
      </c>
      <c r="G870" s="4" t="n">
        <v>70852.31</v>
      </c>
      <c r="H870" s="4">
        <f>MAX(0,G870-SUMIFS('Paiements contrat'!$B:$B,'Paiements contrat'!$A:$A,A870))</f>
        <v/>
      </c>
      <c r="I870" s="4" t="n">
        <v>60032.86</v>
      </c>
      <c r="J870" t="inlineStr">
        <is>
          <t>actif</t>
        </is>
      </c>
    </row>
    <row r="871">
      <c r="A871" t="inlineStr">
        <is>
          <t>CTR-00888</t>
        </is>
      </c>
      <c r="B871" t="inlineStr">
        <is>
          <t>CLI-00669</t>
        </is>
      </c>
      <c r="C871" t="inlineStr">
        <is>
          <t>Île-de-France</t>
        </is>
      </c>
      <c r="D871" t="inlineStr">
        <is>
          <t>materiel</t>
        </is>
      </c>
      <c r="E871" t="inlineStr">
        <is>
          <t>crédit-bail</t>
        </is>
      </c>
      <c r="F871" t="inlineStr">
        <is>
          <t>2024-09-21</t>
        </is>
      </c>
      <c r="G871" s="4" t="n">
        <v>186275.28</v>
      </c>
      <c r="H871" s="4">
        <f>MAX(0,G871-SUMIFS('Paiements contrat'!$B:$B,'Paiements contrat'!$A:$A,A871))</f>
        <v/>
      </c>
      <c r="I871" s="4" t="n">
        <v>57310.69987968249</v>
      </c>
      <c r="J871" t="inlineStr">
        <is>
          <t>actif</t>
        </is>
      </c>
    </row>
    <row r="872">
      <c r="A872" t="inlineStr">
        <is>
          <t>CTR-00889</t>
        </is>
      </c>
      <c r="B872" t="inlineStr">
        <is>
          <t>CLI-00367</t>
        </is>
      </c>
      <c r="C872" t="inlineStr">
        <is>
          <t>Île-de-France</t>
        </is>
      </c>
      <c r="D872" t="inlineStr">
        <is>
          <t>auto</t>
        </is>
      </c>
      <c r="E872" t="inlineStr">
        <is>
          <t>LLD</t>
        </is>
      </c>
      <c r="F872" t="inlineStr">
        <is>
          <t>2025-11-14</t>
        </is>
      </c>
      <c r="G872" s="4" t="n">
        <v>17261.73</v>
      </c>
      <c r="H872" s="4">
        <f>MAX(0,G872-SUMIFS('Paiements contrat'!$B:$B,'Paiements contrat'!$A:$A,A872))</f>
        <v/>
      </c>
      <c r="I872" s="4" t="n">
        <v>13067.07</v>
      </c>
      <c r="J872" t="inlineStr">
        <is>
          <t>actif</t>
        </is>
      </c>
    </row>
    <row r="873">
      <c r="A873" t="inlineStr">
        <is>
          <t>CTR-00890</t>
        </is>
      </c>
      <c r="B873" t="inlineStr">
        <is>
          <t>CLI-00888</t>
        </is>
      </c>
      <c r="C873" t="inlineStr">
        <is>
          <t>Martinique</t>
        </is>
      </c>
      <c r="D873" t="inlineStr">
        <is>
          <t>materiel</t>
        </is>
      </c>
      <c r="E873" t="inlineStr">
        <is>
          <t>crédit-bail</t>
        </is>
      </c>
      <c r="F873" t="inlineStr">
        <is>
          <t>2025-02-01</t>
        </is>
      </c>
      <c r="G873" s="4" t="n">
        <v>38548.96</v>
      </c>
      <c r="H873" s="4">
        <f>MAX(0,G873-SUMIFS('Paiements contrat'!$B:$B,'Paiements contrat'!$A:$A,A873))</f>
        <v/>
      </c>
      <c r="I873" s="4" t="n">
        <v>22889.24</v>
      </c>
      <c r="J873" t="inlineStr">
        <is>
          <t>actif</t>
        </is>
      </c>
    </row>
    <row r="874">
      <c r="A874" t="inlineStr">
        <is>
          <t>CTR-00891</t>
        </is>
      </c>
      <c r="B874" t="inlineStr">
        <is>
          <t>CLI-00726</t>
        </is>
      </c>
      <c r="C874" t="inlineStr">
        <is>
          <t>Île-de-France</t>
        </is>
      </c>
      <c r="D874" t="inlineStr">
        <is>
          <t>auto</t>
        </is>
      </c>
      <c r="E874" t="inlineStr">
        <is>
          <t>LOA</t>
        </is>
      </c>
      <c r="F874" t="inlineStr">
        <is>
          <t>2025-09-26</t>
        </is>
      </c>
      <c r="G874" s="4" t="n">
        <v>69229.67999999999</v>
      </c>
      <c r="H874" s="4">
        <f>MAX(0,G874-SUMIFS('Paiements contrat'!$B:$B,'Paiements contrat'!$A:$A,A874))</f>
        <v/>
      </c>
      <c r="I874" s="4" t="n">
        <v>35205.60999999999</v>
      </c>
      <c r="J874" t="inlineStr">
        <is>
          <t>actif</t>
        </is>
      </c>
    </row>
    <row r="875">
      <c r="A875" t="inlineStr">
        <is>
          <t>CTR-00892</t>
        </is>
      </c>
      <c r="B875" t="inlineStr">
        <is>
          <t>CLI-01020</t>
        </is>
      </c>
      <c r="C875" t="inlineStr">
        <is>
          <t>Île-de-France</t>
        </is>
      </c>
      <c r="D875" t="inlineStr">
        <is>
          <t>auto</t>
        </is>
      </c>
      <c r="E875" t="inlineStr">
        <is>
          <t>LLD</t>
        </is>
      </c>
      <c r="F875" t="inlineStr">
        <is>
          <t>2024-06-18</t>
        </is>
      </c>
      <c r="G875" s="4" t="n">
        <v>39989.75</v>
      </c>
      <c r="H875" s="4">
        <f>MAX(0,G875-SUMIFS('Paiements contrat'!$B:$B,'Paiements contrat'!$A:$A,A875))</f>
        <v/>
      </c>
      <c r="I875" s="4" t="n">
        <v>12807.72345891924</v>
      </c>
      <c r="J875" t="inlineStr">
        <is>
          <t>actif</t>
        </is>
      </c>
    </row>
    <row r="876">
      <c r="A876" t="inlineStr">
        <is>
          <t>CTR-00893</t>
        </is>
      </c>
      <c r="B876" t="inlineStr">
        <is>
          <t>CLI-00632</t>
        </is>
      </c>
      <c r="C876" t="inlineStr">
        <is>
          <t>Île-de-France</t>
        </is>
      </c>
      <c r="D876" t="inlineStr">
        <is>
          <t>materiel</t>
        </is>
      </c>
      <c r="E876" t="inlineStr">
        <is>
          <t>crédit-bail</t>
        </is>
      </c>
      <c r="F876" t="inlineStr">
        <is>
          <t>2025-03-23</t>
        </is>
      </c>
      <c r="G876" s="4" t="n">
        <v>53518.73</v>
      </c>
      <c r="H876" s="4">
        <f>MAX(0,G876-SUMIFS('Paiements contrat'!$B:$B,'Paiements contrat'!$A:$A,A876))</f>
        <v/>
      </c>
      <c r="I876" s="4" t="n">
        <v>37595.89975832369</v>
      </c>
      <c r="J876" t="inlineStr">
        <is>
          <t>actif</t>
        </is>
      </c>
    </row>
    <row r="877">
      <c r="A877" t="inlineStr">
        <is>
          <t>CTR-00894</t>
        </is>
      </c>
      <c r="B877" t="inlineStr">
        <is>
          <t>CLI-00412</t>
        </is>
      </c>
      <c r="C877" t="inlineStr">
        <is>
          <t>Île-de-France</t>
        </is>
      </c>
      <c r="D877" t="inlineStr">
        <is>
          <t>auto</t>
        </is>
      </c>
      <c r="E877" t="inlineStr">
        <is>
          <t>LLD</t>
        </is>
      </c>
      <c r="F877" t="inlineStr">
        <is>
          <t>2025-12-22</t>
        </is>
      </c>
      <c r="G877" s="4" t="n">
        <v>13157.01</v>
      </c>
      <c r="H877" s="4">
        <f>MAX(0,G877-SUMIFS('Paiements contrat'!$B:$B,'Paiements contrat'!$A:$A,A877))</f>
        <v/>
      </c>
      <c r="I877" s="4" t="n">
        <v>11048.92</v>
      </c>
      <c r="J877" t="inlineStr">
        <is>
          <t>actif</t>
        </is>
      </c>
    </row>
    <row r="878">
      <c r="A878" t="inlineStr">
        <is>
          <t>CTR-00895</t>
        </is>
      </c>
      <c r="B878" t="inlineStr">
        <is>
          <t>CLI-00871</t>
        </is>
      </c>
      <c r="C878" t="inlineStr">
        <is>
          <t>Île-de-France</t>
        </is>
      </c>
      <c r="D878" t="inlineStr">
        <is>
          <t>bateau</t>
        </is>
      </c>
      <c r="E878" t="inlineStr">
        <is>
          <t>LOA</t>
        </is>
      </c>
      <c r="F878" t="inlineStr">
        <is>
          <t>2025-09-18</t>
        </is>
      </c>
      <c r="G878" s="4" t="n">
        <v>144817.36</v>
      </c>
      <c r="H878" s="4">
        <f>MAX(0,G878-SUMIFS('Paiements contrat'!$B:$B,'Paiements contrat'!$A:$A,A878))</f>
        <v/>
      </c>
      <c r="I878" s="4" t="n">
        <v>110832.58</v>
      </c>
      <c r="J878" t="inlineStr">
        <is>
          <t>actif</t>
        </is>
      </c>
    </row>
    <row r="879">
      <c r="A879" t="inlineStr">
        <is>
          <t>CTR-00896</t>
        </is>
      </c>
      <c r="B879" t="inlineStr">
        <is>
          <t>CLI-00471</t>
        </is>
      </c>
      <c r="C879" t="inlineStr">
        <is>
          <t>Guadeloupe</t>
        </is>
      </c>
      <c r="D879" t="inlineStr">
        <is>
          <t>auto</t>
        </is>
      </c>
      <c r="E879" t="inlineStr">
        <is>
          <t>LOA</t>
        </is>
      </c>
      <c r="F879" t="inlineStr">
        <is>
          <t>2024-07-13</t>
        </is>
      </c>
      <c r="G879" s="4" t="n">
        <v>49341.3</v>
      </c>
      <c r="H879" s="4">
        <f>MAX(0,G879-SUMIFS('Paiements contrat'!$B:$B,'Paiements contrat'!$A:$A,A879))</f>
        <v/>
      </c>
      <c r="I879" s="4" t="n">
        <v>12793.21000000001</v>
      </c>
      <c r="J879" t="inlineStr">
        <is>
          <t>actif</t>
        </is>
      </c>
    </row>
    <row r="880">
      <c r="A880" t="inlineStr">
        <is>
          <t>CTR-00898</t>
        </is>
      </c>
      <c r="B880" t="inlineStr">
        <is>
          <t>CLI-01025</t>
        </is>
      </c>
      <c r="C880" t="inlineStr">
        <is>
          <t>Guyane</t>
        </is>
      </c>
      <c r="D880" t="inlineStr">
        <is>
          <t>auto</t>
        </is>
      </c>
      <c r="E880" t="inlineStr">
        <is>
          <t>LOA</t>
        </is>
      </c>
      <c r="F880" t="inlineStr">
        <is>
          <t>2024-11-04</t>
        </is>
      </c>
      <c r="G880" s="4" t="n">
        <v>58880.43</v>
      </c>
      <c r="H880" s="4">
        <f>MAX(0,G880-SUMIFS('Paiements contrat'!$B:$B,'Paiements contrat'!$A:$A,A880))</f>
        <v/>
      </c>
      <c r="I880" s="4" t="n">
        <v>22501.58</v>
      </c>
      <c r="J880" t="inlineStr">
        <is>
          <t>actif</t>
        </is>
      </c>
    </row>
    <row r="881">
      <c r="A881" t="inlineStr">
        <is>
          <t>CTR-00899</t>
        </is>
      </c>
      <c r="B881" t="inlineStr">
        <is>
          <t>CLI-00120</t>
        </is>
      </c>
      <c r="C881" t="inlineStr">
        <is>
          <t>Île-de-France</t>
        </is>
      </c>
      <c r="D881" t="inlineStr">
        <is>
          <t>auto</t>
        </is>
      </c>
      <c r="E881" t="inlineStr">
        <is>
          <t>LOA</t>
        </is>
      </c>
      <c r="F881" t="inlineStr">
        <is>
          <t>2026-01-16</t>
        </is>
      </c>
      <c r="G881" s="4" t="n">
        <v>35839.99</v>
      </c>
      <c r="H881" s="4">
        <f>MAX(0,G881-SUMIFS('Paiements contrat'!$B:$B,'Paiements contrat'!$A:$A,A881))</f>
        <v/>
      </c>
      <c r="I881" s="4" t="n">
        <v>29977.39</v>
      </c>
      <c r="J881" t="inlineStr">
        <is>
          <t>actif</t>
        </is>
      </c>
    </row>
    <row r="882">
      <c r="A882" t="inlineStr">
        <is>
          <t>CTR-00900</t>
        </is>
      </c>
      <c r="B882" t="inlineStr">
        <is>
          <t>CLI-00021</t>
        </is>
      </c>
      <c r="C882" t="inlineStr">
        <is>
          <t>Île-de-France</t>
        </is>
      </c>
      <c r="D882" t="inlineStr">
        <is>
          <t>auto</t>
        </is>
      </c>
      <c r="E882" t="inlineStr">
        <is>
          <t>LOA</t>
        </is>
      </c>
      <c r="F882" t="inlineStr">
        <is>
          <t>2024-11-15</t>
        </is>
      </c>
      <c r="G882" s="4" t="n">
        <v>18286.85</v>
      </c>
      <c r="H882" s="4">
        <f>MAX(0,G882-SUMIFS('Paiements contrat'!$B:$B,'Paiements contrat'!$A:$A,A882))</f>
        <v/>
      </c>
      <c r="I882" s="4" t="n">
        <v>2083.259999999998</v>
      </c>
      <c r="J882" t="inlineStr">
        <is>
          <t>actif</t>
        </is>
      </c>
    </row>
    <row r="883">
      <c r="A883" t="inlineStr">
        <is>
          <t>CTR-00901</t>
        </is>
      </c>
      <c r="B883" t="inlineStr">
        <is>
          <t>CLI-00968</t>
        </is>
      </c>
      <c r="C883" t="inlineStr">
        <is>
          <t>Île-de-France</t>
        </is>
      </c>
      <c r="D883" t="inlineStr">
        <is>
          <t>auto</t>
        </is>
      </c>
      <c r="E883" t="inlineStr">
        <is>
          <t>LOA</t>
        </is>
      </c>
      <c r="F883" t="inlineStr">
        <is>
          <t>2026-01-25</t>
        </is>
      </c>
      <c r="G883" s="4" t="n">
        <v>25886.45</v>
      </c>
      <c r="H883" s="4">
        <f>MAX(0,G883-SUMIFS('Paiements contrat'!$B:$B,'Paiements contrat'!$A:$A,A883))</f>
        <v/>
      </c>
      <c r="I883" s="4" t="n">
        <v>24907.95</v>
      </c>
      <c r="J883" t="inlineStr">
        <is>
          <t>actif</t>
        </is>
      </c>
    </row>
    <row r="884">
      <c r="A884" t="inlineStr">
        <is>
          <t>CTR-00902</t>
        </is>
      </c>
      <c r="B884" t="inlineStr">
        <is>
          <t>CLI-00361</t>
        </is>
      </c>
      <c r="C884" t="inlineStr">
        <is>
          <t>Île-de-France</t>
        </is>
      </c>
      <c r="D884" t="inlineStr">
        <is>
          <t>bateau</t>
        </is>
      </c>
      <c r="E884" t="inlineStr">
        <is>
          <t>LOA</t>
        </is>
      </c>
      <c r="F884" t="inlineStr">
        <is>
          <t>2025-09-23</t>
        </is>
      </c>
      <c r="G884" s="4" t="n">
        <v>155835.34</v>
      </c>
      <c r="H884" s="4">
        <f>MAX(0,G884-SUMIFS('Paiements contrat'!$B:$B,'Paiements contrat'!$A:$A,A884))</f>
        <v/>
      </c>
      <c r="I884" s="4" t="n">
        <v>126058.61</v>
      </c>
      <c r="J884" t="inlineStr">
        <is>
          <t>actif</t>
        </is>
      </c>
    </row>
    <row r="885">
      <c r="A885" t="inlineStr">
        <is>
          <t>CTR-00903</t>
        </is>
      </c>
      <c r="B885" t="inlineStr">
        <is>
          <t>CLI-00064</t>
        </is>
      </c>
      <c r="C885" t="inlineStr">
        <is>
          <t>Île-de-France</t>
        </is>
      </c>
      <c r="D885" t="inlineStr">
        <is>
          <t>materiel</t>
        </is>
      </c>
      <c r="E885" t="inlineStr">
        <is>
          <t>crédit-bail</t>
        </is>
      </c>
      <c r="F885" t="inlineStr">
        <is>
          <t>2026-02-12</t>
        </is>
      </c>
      <c r="G885" s="4" t="n">
        <v>170696.99</v>
      </c>
      <c r="H885" s="4">
        <f>MAX(0,G885-SUMIFS('Paiements contrat'!$B:$B,'Paiements contrat'!$A:$A,A885))</f>
        <v/>
      </c>
      <c r="I885" s="4" t="n">
        <v>168411.95</v>
      </c>
      <c r="J885" t="inlineStr">
        <is>
          <t>actif</t>
        </is>
      </c>
    </row>
    <row r="886">
      <c r="A886" t="inlineStr">
        <is>
          <t>CTR-00904</t>
        </is>
      </c>
      <c r="B886" t="inlineStr">
        <is>
          <t>CLI-00662</t>
        </is>
      </c>
      <c r="C886" t="inlineStr">
        <is>
          <t>Guadeloupe</t>
        </is>
      </c>
      <c r="D886" t="inlineStr">
        <is>
          <t>auto</t>
        </is>
      </c>
      <c r="E886" t="inlineStr">
        <is>
          <t>LOA</t>
        </is>
      </c>
      <c r="F886" t="inlineStr">
        <is>
          <t>2024-04-11</t>
        </is>
      </c>
      <c r="G886" s="4" t="n">
        <v>75259.3</v>
      </c>
      <c r="H886" s="4">
        <f>MAX(0,G886-SUMIFS('Paiements contrat'!$B:$B,'Paiements contrat'!$A:$A,A886))</f>
        <v/>
      </c>
      <c r="I886" s="4" t="n">
        <v>9327.010000000009</v>
      </c>
      <c r="J886" t="inlineStr">
        <is>
          <t>contentieux</t>
        </is>
      </c>
    </row>
    <row r="887">
      <c r="A887" t="inlineStr">
        <is>
          <t>CTR-00905</t>
        </is>
      </c>
      <c r="B887" t="inlineStr">
        <is>
          <t>CLI-01324</t>
        </is>
      </c>
      <c r="C887" t="inlineStr">
        <is>
          <t>Île-de-France</t>
        </is>
      </c>
      <c r="D887" t="inlineStr">
        <is>
          <t>auto</t>
        </is>
      </c>
      <c r="E887" t="inlineStr">
        <is>
          <t>LLD</t>
        </is>
      </c>
      <c r="F887" t="inlineStr">
        <is>
          <t>2024-10-24</t>
        </is>
      </c>
      <c r="G887" s="4" t="n">
        <v>48699.44</v>
      </c>
      <c r="H887" s="4">
        <f>MAX(0,G887-SUMIFS('Paiements contrat'!$B:$B,'Paiements contrat'!$A:$A,A887))</f>
        <v/>
      </c>
      <c r="I887" s="4" t="n">
        <v>23848.2</v>
      </c>
      <c r="J887" t="inlineStr">
        <is>
          <t>actif</t>
        </is>
      </c>
    </row>
    <row r="888">
      <c r="A888" t="inlineStr">
        <is>
          <t>CTR-00906</t>
        </is>
      </c>
      <c r="B888" t="inlineStr">
        <is>
          <t>CLI-00242</t>
        </is>
      </c>
      <c r="C888" t="inlineStr">
        <is>
          <t>Réunion</t>
        </is>
      </c>
      <c r="D888" t="inlineStr">
        <is>
          <t>auto</t>
        </is>
      </c>
      <c r="E888" t="inlineStr">
        <is>
          <t>LOA</t>
        </is>
      </c>
      <c r="F888" t="inlineStr">
        <is>
          <t>2025-11-07</t>
        </is>
      </c>
      <c r="G888" s="4" t="n">
        <v>53609.88</v>
      </c>
      <c r="H888" s="4">
        <f>MAX(0,G888-SUMIFS('Paiements contrat'!$B:$B,'Paiements contrat'!$A:$A,A888))</f>
        <v/>
      </c>
      <c r="I888" s="4" t="n">
        <v>45311.02</v>
      </c>
      <c r="J888" t="inlineStr">
        <is>
          <t>actif</t>
        </is>
      </c>
    </row>
    <row r="889">
      <c r="A889" t="inlineStr">
        <is>
          <t>CTR-00907</t>
        </is>
      </c>
      <c r="B889" t="inlineStr">
        <is>
          <t>CLI-00354</t>
        </is>
      </c>
      <c r="C889" t="inlineStr">
        <is>
          <t>Île-de-France</t>
        </is>
      </c>
      <c r="D889" t="inlineStr">
        <is>
          <t>materiel</t>
        </is>
      </c>
      <c r="E889" t="inlineStr">
        <is>
          <t>crédit-bail</t>
        </is>
      </c>
      <c r="F889" t="inlineStr">
        <is>
          <t>2025-09-06</t>
        </is>
      </c>
      <c r="G889" s="4" t="n">
        <v>160454.43</v>
      </c>
      <c r="H889" s="4">
        <f>MAX(0,G889-SUMIFS('Paiements contrat'!$B:$B,'Paiements contrat'!$A:$A,A889))</f>
        <v/>
      </c>
      <c r="I889" s="4" t="n">
        <v>142308.93</v>
      </c>
      <c r="J889" t="inlineStr">
        <is>
          <t>actif</t>
        </is>
      </c>
    </row>
    <row r="890">
      <c r="A890" t="inlineStr">
        <is>
          <t>CTR-00908</t>
        </is>
      </c>
      <c r="B890" t="inlineStr">
        <is>
          <t>CLI-00638</t>
        </is>
      </c>
      <c r="C890" t="inlineStr">
        <is>
          <t>Île-de-France</t>
        </is>
      </c>
      <c r="D890" t="inlineStr">
        <is>
          <t>materiel</t>
        </is>
      </c>
      <c r="E890" t="inlineStr">
        <is>
          <t>crédit-bail</t>
        </is>
      </c>
      <c r="F890" t="inlineStr">
        <is>
          <t>2024-09-09</t>
        </is>
      </c>
      <c r="G890" s="4" t="n">
        <v>83451.83</v>
      </c>
      <c r="H890" s="4">
        <f>MAX(0,G890-SUMIFS('Paiements contrat'!$B:$B,'Paiements contrat'!$A:$A,A890))</f>
        <v/>
      </c>
      <c r="I890" s="4" t="n">
        <v>63734.97</v>
      </c>
      <c r="J890" t="inlineStr">
        <is>
          <t>actif</t>
        </is>
      </c>
    </row>
    <row r="891">
      <c r="A891" t="inlineStr">
        <is>
          <t>CTR-00909</t>
        </is>
      </c>
      <c r="B891" t="inlineStr">
        <is>
          <t>CLI-00471</t>
        </is>
      </c>
      <c r="C891" t="inlineStr">
        <is>
          <t>Guadeloupe</t>
        </is>
      </c>
      <c r="D891" t="inlineStr">
        <is>
          <t>materiel</t>
        </is>
      </c>
      <c r="E891" t="inlineStr">
        <is>
          <t>crédit-bail</t>
        </is>
      </c>
      <c r="F891" t="inlineStr">
        <is>
          <t>2025-06-25</t>
        </is>
      </c>
      <c r="G891" s="4" t="n">
        <v>137484.35</v>
      </c>
      <c r="H891" s="4">
        <f>MAX(0,G891-SUMIFS('Paiements contrat'!$B:$B,'Paiements contrat'!$A:$A,A891))</f>
        <v/>
      </c>
      <c r="I891" s="4" t="n">
        <v>123746.2636009769</v>
      </c>
      <c r="J891" t="inlineStr">
        <is>
          <t>actif</t>
        </is>
      </c>
    </row>
    <row r="892">
      <c r="A892" t="inlineStr">
        <is>
          <t>CTR-00910</t>
        </is>
      </c>
      <c r="B892" t="inlineStr">
        <is>
          <t>CLI-00515</t>
        </is>
      </c>
      <c r="C892" t="inlineStr">
        <is>
          <t>Martinique</t>
        </is>
      </c>
      <c r="D892" t="inlineStr">
        <is>
          <t>materiel</t>
        </is>
      </c>
      <c r="E892" t="inlineStr">
        <is>
          <t>crédit-bail</t>
        </is>
      </c>
      <c r="F892" t="inlineStr">
        <is>
          <t>2024-05-08</t>
        </is>
      </c>
      <c r="G892" s="4" t="n">
        <v>101179.71</v>
      </c>
      <c r="H892" s="4">
        <f>MAX(0,G892-SUMIFS('Paiements contrat'!$B:$B,'Paiements contrat'!$A:$A,A892))</f>
        <v/>
      </c>
      <c r="I892" s="4" t="n">
        <v>46444.26000000001</v>
      </c>
      <c r="J892" t="inlineStr">
        <is>
          <t>actif</t>
        </is>
      </c>
    </row>
    <row r="893">
      <c r="A893" t="inlineStr">
        <is>
          <t>CTR-00911</t>
        </is>
      </c>
      <c r="B893" t="inlineStr">
        <is>
          <t>CLI-01388</t>
        </is>
      </c>
      <c r="C893" t="inlineStr">
        <is>
          <t>Île-de-France</t>
        </is>
      </c>
      <c r="D893" t="inlineStr">
        <is>
          <t>auto</t>
        </is>
      </c>
      <c r="E893" t="inlineStr">
        <is>
          <t>LOA</t>
        </is>
      </c>
      <c r="F893" t="inlineStr">
        <is>
          <t>2026-03-04</t>
        </is>
      </c>
      <c r="G893" s="4" t="n">
        <v>70582.86</v>
      </c>
      <c r="H893" s="4">
        <f>MAX(0,G893-SUMIFS('Paiements contrat'!$B:$B,'Paiements contrat'!$A:$A,A893))</f>
        <v/>
      </c>
      <c r="I893" s="4" t="n">
        <v>70582.86</v>
      </c>
      <c r="J893" t="inlineStr">
        <is>
          <t>actif</t>
        </is>
      </c>
    </row>
    <row r="894">
      <c r="A894" t="inlineStr">
        <is>
          <t>CTR-00913</t>
        </is>
      </c>
      <c r="B894" t="inlineStr">
        <is>
          <t>CLI-01216</t>
        </is>
      </c>
      <c r="C894" t="inlineStr">
        <is>
          <t>Réunion</t>
        </is>
      </c>
      <c r="D894" t="inlineStr">
        <is>
          <t>materiel</t>
        </is>
      </c>
      <c r="E894" t="inlineStr">
        <is>
          <t>crédit-bail</t>
        </is>
      </c>
      <c r="F894" t="inlineStr">
        <is>
          <t>2025-06-03</t>
        </is>
      </c>
      <c r="G894" s="4" t="n">
        <v>98612.3</v>
      </c>
      <c r="H894" s="4">
        <f>MAX(0,G894-SUMIFS('Paiements contrat'!$B:$B,'Paiements contrat'!$A:$A,A894))</f>
        <v/>
      </c>
      <c r="I894" s="4" t="n">
        <v>87183.03</v>
      </c>
      <c r="J894" t="inlineStr">
        <is>
          <t>actif</t>
        </is>
      </c>
    </row>
    <row r="895">
      <c r="A895" t="inlineStr">
        <is>
          <t>CTR-00914</t>
        </is>
      </c>
      <c r="B895" t="inlineStr">
        <is>
          <t>CLI-01100</t>
        </is>
      </c>
      <c r="C895" t="inlineStr">
        <is>
          <t>Guadeloupe</t>
        </is>
      </c>
      <c r="D895" t="inlineStr">
        <is>
          <t>materiel</t>
        </is>
      </c>
      <c r="E895" t="inlineStr">
        <is>
          <t>crédit-bail</t>
        </is>
      </c>
      <c r="F895" t="inlineStr">
        <is>
          <t>2025-04-09</t>
        </is>
      </c>
      <c r="G895" s="4" t="n">
        <v>104980.84</v>
      </c>
      <c r="H895" s="4">
        <f>MAX(0,G895-SUMIFS('Paiements contrat'!$B:$B,'Paiements contrat'!$A:$A,A895))</f>
        <v/>
      </c>
      <c r="I895" s="4" t="n">
        <v>62702.78</v>
      </c>
      <c r="J895" t="inlineStr">
        <is>
          <t>actif</t>
        </is>
      </c>
    </row>
    <row r="896">
      <c r="A896" t="inlineStr">
        <is>
          <t>CTR-00915</t>
        </is>
      </c>
      <c r="B896" t="inlineStr">
        <is>
          <t>CLI-00331</t>
        </is>
      </c>
      <c r="C896" t="inlineStr">
        <is>
          <t>Île-de-France</t>
        </is>
      </c>
      <c r="D896" t="inlineStr">
        <is>
          <t>auto</t>
        </is>
      </c>
      <c r="E896" t="inlineStr">
        <is>
          <t>LLD</t>
        </is>
      </c>
      <c r="F896" t="inlineStr">
        <is>
          <t>2025-02-15</t>
        </is>
      </c>
      <c r="G896" s="4" t="n">
        <v>55825.64</v>
      </c>
      <c r="H896" s="4">
        <f>MAX(0,G896-SUMIFS('Paiements contrat'!$B:$B,'Paiements contrat'!$A:$A,A896))</f>
        <v/>
      </c>
      <c r="I896" s="4" t="n">
        <v>45725.78</v>
      </c>
      <c r="J896" t="inlineStr">
        <is>
          <t>actif</t>
        </is>
      </c>
    </row>
    <row r="897">
      <c r="A897" t="inlineStr">
        <is>
          <t>CTR-00916</t>
        </is>
      </c>
      <c r="B897" t="inlineStr">
        <is>
          <t>CLI-01329</t>
        </is>
      </c>
      <c r="C897" t="inlineStr">
        <is>
          <t>Martinique</t>
        </is>
      </c>
      <c r="D897" t="inlineStr">
        <is>
          <t>materiel</t>
        </is>
      </c>
      <c r="E897" t="inlineStr">
        <is>
          <t>crédit-bail</t>
        </is>
      </c>
      <c r="F897" t="inlineStr">
        <is>
          <t>2025-08-23</t>
        </is>
      </c>
      <c r="G897" s="4" t="n">
        <v>25931.81</v>
      </c>
      <c r="H897" s="4">
        <f>MAX(0,G897-SUMIFS('Paiements contrat'!$B:$B,'Paiements contrat'!$A:$A,A897))</f>
        <v/>
      </c>
      <c r="I897" s="4" t="n">
        <v>21794.95</v>
      </c>
      <c r="J897" t="inlineStr">
        <is>
          <t>actif</t>
        </is>
      </c>
    </row>
    <row r="898">
      <c r="A898" t="inlineStr">
        <is>
          <t>CTR-00917</t>
        </is>
      </c>
      <c r="B898" t="inlineStr">
        <is>
          <t>CLI-00338</t>
        </is>
      </c>
      <c r="C898" t="inlineStr">
        <is>
          <t>Île-de-France</t>
        </is>
      </c>
      <c r="D898" t="inlineStr">
        <is>
          <t>auto</t>
        </is>
      </c>
      <c r="E898" t="inlineStr">
        <is>
          <t>LOA</t>
        </is>
      </c>
      <c r="F898" t="inlineStr">
        <is>
          <t>2025-07-11</t>
        </is>
      </c>
      <c r="G898" s="4" t="n">
        <v>14248.39</v>
      </c>
      <c r="H898" s="4">
        <f>MAX(0,G898-SUMIFS('Paiements contrat'!$B:$B,'Paiements contrat'!$A:$A,A898))</f>
        <v/>
      </c>
      <c r="I898" s="4" t="n">
        <v>11060</v>
      </c>
      <c r="J898" t="inlineStr">
        <is>
          <t>actif</t>
        </is>
      </c>
    </row>
    <row r="899">
      <c r="A899" t="inlineStr">
        <is>
          <t>CTR-00918</t>
        </is>
      </c>
      <c r="B899" t="inlineStr">
        <is>
          <t>CLI-01105</t>
        </is>
      </c>
      <c r="C899" t="inlineStr">
        <is>
          <t>Île-de-France</t>
        </is>
      </c>
      <c r="D899" t="inlineStr">
        <is>
          <t>auto</t>
        </is>
      </c>
      <c r="E899" t="inlineStr">
        <is>
          <t>LOA</t>
        </is>
      </c>
      <c r="F899" t="inlineStr">
        <is>
          <t>2025-10-23</t>
        </is>
      </c>
      <c r="G899" s="4" t="n">
        <v>24343.67</v>
      </c>
      <c r="H899" s="4">
        <f>MAX(0,G899-SUMIFS('Paiements contrat'!$B:$B,'Paiements contrat'!$A:$A,A899))</f>
        <v/>
      </c>
      <c r="I899" s="4" t="n">
        <v>21089.94</v>
      </c>
      <c r="J899" t="inlineStr">
        <is>
          <t>actif</t>
        </is>
      </c>
    </row>
    <row r="900">
      <c r="A900" t="inlineStr">
        <is>
          <t>CTR-00919</t>
        </is>
      </c>
      <c r="B900" t="inlineStr">
        <is>
          <t>CLI-00317</t>
        </is>
      </c>
      <c r="C900" t="inlineStr">
        <is>
          <t>Île-de-France</t>
        </is>
      </c>
      <c r="D900" t="inlineStr">
        <is>
          <t>materiel</t>
        </is>
      </c>
      <c r="E900" t="inlineStr">
        <is>
          <t>crédit-bail</t>
        </is>
      </c>
      <c r="F900" t="inlineStr">
        <is>
          <t>2025-02-20</t>
        </is>
      </c>
      <c r="G900" s="4" t="n">
        <v>173615.58</v>
      </c>
      <c r="H900" s="4">
        <f>MAX(0,G900-SUMIFS('Paiements contrat'!$B:$B,'Paiements contrat'!$A:$A,A900))</f>
        <v/>
      </c>
      <c r="I900" s="4" t="n">
        <v>128751.56</v>
      </c>
      <c r="J900" t="inlineStr">
        <is>
          <t>actif</t>
        </is>
      </c>
    </row>
    <row r="901">
      <c r="A901" t="inlineStr">
        <is>
          <t>CTR-00920</t>
        </is>
      </c>
      <c r="B901" t="inlineStr">
        <is>
          <t>CLI-01490</t>
        </is>
      </c>
      <c r="C901" t="inlineStr">
        <is>
          <t>Guadeloupe</t>
        </is>
      </c>
      <c r="D901" t="inlineStr">
        <is>
          <t>auto</t>
        </is>
      </c>
      <c r="E901" t="inlineStr">
        <is>
          <t>LOA</t>
        </is>
      </c>
      <c r="F901" t="inlineStr">
        <is>
          <t>2025-07-27</t>
        </is>
      </c>
      <c r="G901" s="4" t="n">
        <v>61417.4</v>
      </c>
      <c r="H901" s="4">
        <f>MAX(0,G901-SUMIFS('Paiements contrat'!$B:$B,'Paiements contrat'!$A:$A,A901))</f>
        <v/>
      </c>
      <c r="I901" s="4" t="n">
        <v>53392</v>
      </c>
      <c r="J901" t="inlineStr">
        <is>
          <t>actif</t>
        </is>
      </c>
    </row>
    <row r="902">
      <c r="A902" t="inlineStr">
        <is>
          <t>CTR-00921</t>
        </is>
      </c>
      <c r="B902" t="inlineStr">
        <is>
          <t>CLI-01350</t>
        </is>
      </c>
      <c r="C902" t="inlineStr">
        <is>
          <t>Réunion</t>
        </is>
      </c>
      <c r="D902" t="inlineStr">
        <is>
          <t>auto</t>
        </is>
      </c>
      <c r="E902" t="inlineStr">
        <is>
          <t>LOA</t>
        </is>
      </c>
      <c r="F902" t="inlineStr">
        <is>
          <t>2025-12-20</t>
        </is>
      </c>
      <c r="G902" s="4" t="n">
        <v>66583.67</v>
      </c>
      <c r="H902" s="4">
        <f>MAX(0,G902-SUMIFS('Paiements contrat'!$B:$B,'Paiements contrat'!$A:$A,A902))</f>
        <v/>
      </c>
      <c r="I902" s="4" t="n">
        <v>63212.68</v>
      </c>
      <c r="J902" t="inlineStr">
        <is>
          <t>actif</t>
        </is>
      </c>
    </row>
    <row r="903">
      <c r="A903" t="inlineStr">
        <is>
          <t>CTR-00922</t>
        </is>
      </c>
      <c r="B903" t="inlineStr">
        <is>
          <t>CLI-00913</t>
        </is>
      </c>
      <c r="C903" t="inlineStr">
        <is>
          <t>Guadeloupe</t>
        </is>
      </c>
      <c r="D903" t="inlineStr">
        <is>
          <t>bateau</t>
        </is>
      </c>
      <c r="E903" t="inlineStr">
        <is>
          <t>LOA</t>
        </is>
      </c>
      <c r="F903" t="inlineStr">
        <is>
          <t>2024-12-16</t>
        </is>
      </c>
      <c r="G903" s="4" t="n">
        <v>65378.39</v>
      </c>
      <c r="H903" s="4">
        <f>MAX(0,G903-SUMIFS('Paiements contrat'!$B:$B,'Paiements contrat'!$A:$A,A903))</f>
        <v/>
      </c>
      <c r="I903" s="4" t="n">
        <v>44912.72</v>
      </c>
      <c r="J903" t="inlineStr">
        <is>
          <t>contentieux</t>
        </is>
      </c>
    </row>
    <row r="904">
      <c r="A904" t="inlineStr">
        <is>
          <t>CTR-00923</t>
        </is>
      </c>
      <c r="B904" t="inlineStr">
        <is>
          <t>CLI-00256</t>
        </is>
      </c>
      <c r="C904" t="inlineStr">
        <is>
          <t>Île-de-France</t>
        </is>
      </c>
      <c r="D904" t="inlineStr">
        <is>
          <t>auto</t>
        </is>
      </c>
      <c r="E904" t="inlineStr">
        <is>
          <t>LLD</t>
        </is>
      </c>
      <c r="F904" t="inlineStr">
        <is>
          <t>2025-04-10</t>
        </is>
      </c>
      <c r="G904" s="4" t="n">
        <v>42410.71</v>
      </c>
      <c r="H904" s="4">
        <f>MAX(0,G904-SUMIFS('Paiements contrat'!$B:$B,'Paiements contrat'!$A:$A,A904))</f>
        <v/>
      </c>
      <c r="I904" s="4" t="n">
        <v>28802.82</v>
      </c>
      <c r="J904" t="inlineStr">
        <is>
          <t>actif</t>
        </is>
      </c>
    </row>
    <row r="905">
      <c r="A905" t="inlineStr">
        <is>
          <t>CTR-00924</t>
        </is>
      </c>
      <c r="B905" t="inlineStr">
        <is>
          <t>CLI-00278</t>
        </is>
      </c>
      <c r="C905" t="inlineStr">
        <is>
          <t>Île-de-France</t>
        </is>
      </c>
      <c r="D905" t="inlineStr">
        <is>
          <t>auto</t>
        </is>
      </c>
      <c r="E905" t="inlineStr">
        <is>
          <t>LLD</t>
        </is>
      </c>
      <c r="F905" t="inlineStr">
        <is>
          <t>2025-01-15</t>
        </is>
      </c>
      <c r="G905" s="4" t="n">
        <v>55478.63</v>
      </c>
      <c r="H905" s="4">
        <f>MAX(0,G905-SUMIFS('Paiements contrat'!$B:$B,'Paiements contrat'!$A:$A,A905))</f>
        <v/>
      </c>
      <c r="I905" s="4" t="n">
        <v>26538.09</v>
      </c>
      <c r="J905" t="inlineStr">
        <is>
          <t>actif</t>
        </is>
      </c>
    </row>
    <row r="906">
      <c r="A906" t="inlineStr">
        <is>
          <t>CTR-00925</t>
        </is>
      </c>
      <c r="B906" t="inlineStr">
        <is>
          <t>CLI-00283</t>
        </is>
      </c>
      <c r="C906" t="inlineStr">
        <is>
          <t>Île-de-France</t>
        </is>
      </c>
      <c r="D906" t="inlineStr">
        <is>
          <t>materiel</t>
        </is>
      </c>
      <c r="E906" t="inlineStr">
        <is>
          <t>crédit-bail</t>
        </is>
      </c>
      <c r="F906" t="inlineStr">
        <is>
          <t>2026-01-08</t>
        </is>
      </c>
      <c r="G906" s="4" t="n">
        <v>125607.7</v>
      </c>
      <c r="H906" s="4">
        <f>MAX(0,G906-SUMIFS('Paiements contrat'!$B:$B,'Paiements contrat'!$A:$A,A906))</f>
        <v/>
      </c>
      <c r="I906" s="4" t="n">
        <v>117832.25</v>
      </c>
      <c r="J906" t="inlineStr">
        <is>
          <t>actif</t>
        </is>
      </c>
    </row>
    <row r="907">
      <c r="A907" t="inlineStr">
        <is>
          <t>CTR-00926</t>
        </is>
      </c>
      <c r="B907" t="inlineStr">
        <is>
          <t>CLI-00350</t>
        </is>
      </c>
      <c r="C907" t="inlineStr">
        <is>
          <t>Île-de-France</t>
        </is>
      </c>
      <c r="D907" t="inlineStr">
        <is>
          <t>auto</t>
        </is>
      </c>
      <c r="E907" t="inlineStr">
        <is>
          <t>LLD</t>
        </is>
      </c>
      <c r="F907" t="inlineStr">
        <is>
          <t>2025-12-07</t>
        </is>
      </c>
      <c r="G907" s="4" t="n">
        <v>50689.51</v>
      </c>
      <c r="H907" s="4">
        <f>MAX(0,G907-SUMIFS('Paiements contrat'!$B:$B,'Paiements contrat'!$A:$A,A907))</f>
        <v/>
      </c>
      <c r="I907" s="4" t="n">
        <v>46654.03</v>
      </c>
      <c r="J907" t="inlineStr">
        <is>
          <t>actif</t>
        </is>
      </c>
    </row>
    <row r="908">
      <c r="A908" t="inlineStr">
        <is>
          <t>CTR-00927</t>
        </is>
      </c>
      <c r="B908" t="inlineStr">
        <is>
          <t>CLI-01187</t>
        </is>
      </c>
      <c r="C908" t="inlineStr">
        <is>
          <t>Île-de-France</t>
        </is>
      </c>
      <c r="D908" t="inlineStr">
        <is>
          <t>auto</t>
        </is>
      </c>
      <c r="E908" t="inlineStr">
        <is>
          <t>LLD</t>
        </is>
      </c>
      <c r="F908" t="inlineStr">
        <is>
          <t>2025-02-17</t>
        </is>
      </c>
      <c r="G908" s="4" t="n">
        <v>50574.88</v>
      </c>
      <c r="H908" s="4">
        <f>MAX(0,G908-SUMIFS('Paiements contrat'!$B:$B,'Paiements contrat'!$A:$A,A908))</f>
        <v/>
      </c>
      <c r="I908" s="4" t="n">
        <v>24212.39</v>
      </c>
      <c r="J908" t="inlineStr">
        <is>
          <t>actif</t>
        </is>
      </c>
    </row>
    <row r="909">
      <c r="A909" t="inlineStr">
        <is>
          <t>CTR-00928</t>
        </is>
      </c>
      <c r="B909" t="inlineStr">
        <is>
          <t>CLI-01211</t>
        </is>
      </c>
      <c r="C909" t="inlineStr">
        <is>
          <t>Île-de-France</t>
        </is>
      </c>
      <c r="D909" t="inlineStr">
        <is>
          <t>auto</t>
        </is>
      </c>
      <c r="E909" t="inlineStr">
        <is>
          <t>LLD</t>
        </is>
      </c>
      <c r="F909" t="inlineStr">
        <is>
          <t>2024-12-20</t>
        </is>
      </c>
      <c r="G909" s="4" t="n">
        <v>29388.29</v>
      </c>
      <c r="H909" s="4">
        <f>MAX(0,G909-SUMIFS('Paiements contrat'!$B:$B,'Paiements contrat'!$A:$A,A909))</f>
        <v/>
      </c>
      <c r="I909" s="4" t="n">
        <v>19131.4714825757</v>
      </c>
      <c r="J909" t="inlineStr">
        <is>
          <t>actif</t>
        </is>
      </c>
    </row>
    <row r="910">
      <c r="A910" t="inlineStr">
        <is>
          <t>CTR-00929</t>
        </is>
      </c>
      <c r="B910" t="inlineStr">
        <is>
          <t>CLI-00551</t>
        </is>
      </c>
      <c r="C910" t="inlineStr">
        <is>
          <t>Île-de-France</t>
        </is>
      </c>
      <c r="D910" t="inlineStr">
        <is>
          <t>auto</t>
        </is>
      </c>
      <c r="E910" t="inlineStr">
        <is>
          <t>LLD</t>
        </is>
      </c>
      <c r="F910" t="inlineStr">
        <is>
          <t>2024-12-03</t>
        </is>
      </c>
      <c r="G910" s="4" t="n">
        <v>42774.32</v>
      </c>
      <c r="H910" s="4">
        <f>MAX(0,G910-SUMIFS('Paiements contrat'!$B:$B,'Paiements contrat'!$A:$A,A910))</f>
        <v/>
      </c>
      <c r="I910" s="4" t="n">
        <v>27509.43974537108</v>
      </c>
      <c r="J910" t="inlineStr">
        <is>
          <t>actif</t>
        </is>
      </c>
    </row>
    <row r="911">
      <c r="A911" t="inlineStr">
        <is>
          <t>CTR-00930</t>
        </is>
      </c>
      <c r="B911" t="inlineStr">
        <is>
          <t>CLI-00487</t>
        </is>
      </c>
      <c r="C911" t="inlineStr">
        <is>
          <t>Guyane</t>
        </is>
      </c>
      <c r="D911" t="inlineStr">
        <is>
          <t>auto</t>
        </is>
      </c>
      <c r="E911" t="inlineStr">
        <is>
          <t>LOA</t>
        </is>
      </c>
      <c r="F911" t="inlineStr">
        <is>
          <t>2025-04-11</t>
        </is>
      </c>
      <c r="G911" s="4" t="n">
        <v>28766.88</v>
      </c>
      <c r="H911" s="4">
        <f>MAX(0,G911-SUMIFS('Paiements contrat'!$B:$B,'Paiements contrat'!$A:$A,A911))</f>
        <v/>
      </c>
      <c r="I911" s="4" t="n">
        <v>18273.81</v>
      </c>
      <c r="J911" t="inlineStr">
        <is>
          <t>actif</t>
        </is>
      </c>
    </row>
    <row r="912">
      <c r="A912" t="inlineStr">
        <is>
          <t>CTR-00932</t>
        </is>
      </c>
      <c r="B912" t="inlineStr">
        <is>
          <t>CLI-00869</t>
        </is>
      </c>
      <c r="C912" t="inlineStr">
        <is>
          <t>Île-de-France</t>
        </is>
      </c>
      <c r="D912" t="inlineStr">
        <is>
          <t>materiel</t>
        </is>
      </c>
      <c r="E912" t="inlineStr">
        <is>
          <t>crédit-bail</t>
        </is>
      </c>
      <c r="F912" t="inlineStr">
        <is>
          <t>2025-04-26</t>
        </is>
      </c>
      <c r="G912" s="4" t="n">
        <v>45983.18</v>
      </c>
      <c r="H912" s="4">
        <f>MAX(0,G912-SUMIFS('Paiements contrat'!$B:$B,'Paiements contrat'!$A:$A,A912))</f>
        <v/>
      </c>
      <c r="I912" s="4" t="n">
        <v>34874.12</v>
      </c>
      <c r="J912" t="inlineStr">
        <is>
          <t>actif</t>
        </is>
      </c>
    </row>
    <row r="913">
      <c r="A913" t="inlineStr">
        <is>
          <t>CTR-00933</t>
        </is>
      </c>
      <c r="B913" t="inlineStr">
        <is>
          <t>CLI-01340</t>
        </is>
      </c>
      <c r="C913" t="inlineStr">
        <is>
          <t>Île-de-France</t>
        </is>
      </c>
      <c r="D913" t="inlineStr">
        <is>
          <t>auto</t>
        </is>
      </c>
      <c r="E913" t="inlineStr">
        <is>
          <t>LOA</t>
        </is>
      </c>
      <c r="F913" t="inlineStr">
        <is>
          <t>2024-10-10</t>
        </is>
      </c>
      <c r="G913" s="4" t="n">
        <v>18233.89</v>
      </c>
      <c r="H913" s="4">
        <f>MAX(0,G913-SUMIFS('Paiements contrat'!$B:$B,'Paiements contrat'!$A:$A,A913))</f>
        <v/>
      </c>
      <c r="I913" s="4" t="n">
        <v>11590.79</v>
      </c>
      <c r="J913" t="inlineStr">
        <is>
          <t>actif</t>
        </is>
      </c>
    </row>
    <row r="914">
      <c r="A914" t="inlineStr">
        <is>
          <t>CTR-00934</t>
        </is>
      </c>
      <c r="B914" t="inlineStr">
        <is>
          <t>CLI-00154</t>
        </is>
      </c>
      <c r="C914" t="inlineStr">
        <is>
          <t>Île-de-France</t>
        </is>
      </c>
      <c r="D914" t="inlineStr">
        <is>
          <t>auto</t>
        </is>
      </c>
      <c r="E914" t="inlineStr">
        <is>
          <t>LLD</t>
        </is>
      </c>
      <c r="F914" t="inlineStr">
        <is>
          <t>2024-09-25</t>
        </is>
      </c>
      <c r="G914" s="4" t="n">
        <v>39805.51</v>
      </c>
      <c r="H914" s="4">
        <f>MAX(0,G914-SUMIFS('Paiements contrat'!$B:$B,'Paiements contrat'!$A:$A,A914))</f>
        <v/>
      </c>
      <c r="I914" s="4" t="n">
        <v>21443.22</v>
      </c>
      <c r="J914" t="inlineStr">
        <is>
          <t>actif</t>
        </is>
      </c>
    </row>
    <row r="915">
      <c r="A915" t="inlineStr">
        <is>
          <t>CTR-00935</t>
        </is>
      </c>
      <c r="B915" t="inlineStr">
        <is>
          <t>CLI-00835</t>
        </is>
      </c>
      <c r="C915" t="inlineStr">
        <is>
          <t>Guyane</t>
        </is>
      </c>
      <c r="D915" t="inlineStr">
        <is>
          <t>auto</t>
        </is>
      </c>
      <c r="E915" t="inlineStr">
        <is>
          <t>LOA</t>
        </is>
      </c>
      <c r="F915" t="inlineStr">
        <is>
          <t>2024-10-03</t>
        </is>
      </c>
      <c r="G915" s="4" t="n">
        <v>39337.61</v>
      </c>
      <c r="H915" s="4">
        <f>MAX(0,G915-SUMIFS('Paiements contrat'!$B:$B,'Paiements contrat'!$A:$A,A915))</f>
        <v/>
      </c>
      <c r="I915" s="4" t="n">
        <v>2268.610000000001</v>
      </c>
      <c r="J915" t="inlineStr">
        <is>
          <t>actif</t>
        </is>
      </c>
    </row>
    <row r="916">
      <c r="A916" t="inlineStr">
        <is>
          <t>CTR-00936</t>
        </is>
      </c>
      <c r="B916" t="inlineStr">
        <is>
          <t>CLI-01010</t>
        </is>
      </c>
      <c r="C916" t="inlineStr">
        <is>
          <t>Guadeloupe</t>
        </is>
      </c>
      <c r="D916" t="inlineStr">
        <is>
          <t>auto</t>
        </is>
      </c>
      <c r="E916" t="inlineStr">
        <is>
          <t>LOA</t>
        </is>
      </c>
      <c r="F916" t="inlineStr">
        <is>
          <t>2025-02-18</t>
        </is>
      </c>
      <c r="G916" s="4" t="n">
        <v>41730.95</v>
      </c>
      <c r="H916" s="4">
        <f>MAX(0,G916-SUMIFS('Paiements contrat'!$B:$B,'Paiements contrat'!$A:$A,A916))</f>
        <v/>
      </c>
      <c r="I916" s="4" t="n">
        <v>31100.99</v>
      </c>
      <c r="J916" t="inlineStr">
        <is>
          <t>actif</t>
        </is>
      </c>
    </row>
    <row r="917">
      <c r="A917" t="inlineStr">
        <is>
          <t>CTR-00937</t>
        </is>
      </c>
      <c r="B917" t="inlineStr">
        <is>
          <t>CLI-00333</t>
        </is>
      </c>
      <c r="C917" t="inlineStr">
        <is>
          <t>Guyane</t>
        </is>
      </c>
      <c r="D917" t="inlineStr">
        <is>
          <t>materiel</t>
        </is>
      </c>
      <c r="E917" t="inlineStr">
        <is>
          <t>crédit-bail</t>
        </is>
      </c>
      <c r="F917" t="inlineStr">
        <is>
          <t>2024-08-06</t>
        </is>
      </c>
      <c r="G917" s="4" t="n">
        <v>54847.11</v>
      </c>
      <c r="H917" s="4">
        <f>MAX(0,G917-SUMIFS('Paiements contrat'!$B:$B,'Paiements contrat'!$A:$A,A917))</f>
        <v/>
      </c>
      <c r="I917" s="4" t="n">
        <v>36420.36500914077</v>
      </c>
      <c r="J917" t="inlineStr">
        <is>
          <t>actif</t>
        </is>
      </c>
    </row>
    <row r="918">
      <c r="A918" t="inlineStr">
        <is>
          <t>CTR-00938</t>
        </is>
      </c>
      <c r="B918" t="inlineStr">
        <is>
          <t>CLI-01098</t>
        </is>
      </c>
      <c r="C918" t="inlineStr">
        <is>
          <t>Réunion</t>
        </is>
      </c>
      <c r="D918" t="inlineStr">
        <is>
          <t>auto</t>
        </is>
      </c>
      <c r="E918" t="inlineStr">
        <is>
          <t>LOA</t>
        </is>
      </c>
      <c r="F918" t="inlineStr">
        <is>
          <t>2025-02-10</t>
        </is>
      </c>
      <c r="G918" s="4" t="n">
        <v>72668.34</v>
      </c>
      <c r="H918" s="4">
        <f>MAX(0,G918-SUMIFS('Paiements contrat'!$B:$B,'Paiements contrat'!$A:$A,A918))</f>
        <v/>
      </c>
      <c r="I918" s="4" t="n">
        <v>57511.84</v>
      </c>
      <c r="J918" t="inlineStr">
        <is>
          <t>actif</t>
        </is>
      </c>
    </row>
    <row r="919">
      <c r="A919" t="inlineStr">
        <is>
          <t>CTR-00939</t>
        </is>
      </c>
      <c r="B919" t="inlineStr">
        <is>
          <t>CLI-00015</t>
        </is>
      </c>
      <c r="C919" t="inlineStr">
        <is>
          <t>Réunion</t>
        </is>
      </c>
      <c r="D919" t="inlineStr">
        <is>
          <t>auto</t>
        </is>
      </c>
      <c r="E919" t="inlineStr">
        <is>
          <t>LLD</t>
        </is>
      </c>
      <c r="F919" t="inlineStr">
        <is>
          <t>2025-03-05</t>
        </is>
      </c>
      <c r="G919" s="4" t="n">
        <v>12084.94</v>
      </c>
      <c r="H919" s="4">
        <f>MAX(0,G919-SUMIFS('Paiements contrat'!$B:$B,'Paiements contrat'!$A:$A,A919))</f>
        <v/>
      </c>
      <c r="I919" s="4" t="n">
        <v>8852.012607803832</v>
      </c>
      <c r="J919" t="inlineStr">
        <is>
          <t>actif</t>
        </is>
      </c>
    </row>
    <row r="920">
      <c r="A920" t="inlineStr">
        <is>
          <t>CTR-00940</t>
        </is>
      </c>
      <c r="B920" t="inlineStr">
        <is>
          <t>CLI-00790</t>
        </is>
      </c>
      <c r="C920" t="inlineStr">
        <is>
          <t>Île-de-France</t>
        </is>
      </c>
      <c r="D920" t="inlineStr">
        <is>
          <t>materiel</t>
        </is>
      </c>
      <c r="E920" t="inlineStr">
        <is>
          <t>crédit-bail</t>
        </is>
      </c>
      <c r="F920" t="inlineStr">
        <is>
          <t>2025-07-19</t>
        </is>
      </c>
      <c r="G920" s="4" t="n">
        <v>118676.77</v>
      </c>
      <c r="H920" s="4">
        <f>MAX(0,G920-SUMIFS('Paiements contrat'!$B:$B,'Paiements contrat'!$A:$A,A920))</f>
        <v/>
      </c>
      <c r="I920" s="4" t="n">
        <v>49795.09000000001</v>
      </c>
      <c r="J920" t="inlineStr">
        <is>
          <t>actif</t>
        </is>
      </c>
    </row>
    <row r="921">
      <c r="A921" t="inlineStr">
        <is>
          <t>CTR-00941</t>
        </is>
      </c>
      <c r="B921" t="inlineStr">
        <is>
          <t>CLI-00344</t>
        </is>
      </c>
      <c r="C921" t="inlineStr">
        <is>
          <t>Guyane</t>
        </is>
      </c>
      <c r="D921" t="inlineStr">
        <is>
          <t>materiel</t>
        </is>
      </c>
      <c r="E921" t="inlineStr">
        <is>
          <t>crédit-bail</t>
        </is>
      </c>
      <c r="F921" t="inlineStr">
        <is>
          <t>2025-12-24</t>
        </is>
      </c>
      <c r="G921" s="4" t="n">
        <v>18397.15</v>
      </c>
      <c r="H921" s="4">
        <f>MAX(0,G921-SUMIFS('Paiements contrat'!$B:$B,'Paiements contrat'!$A:$A,A921))</f>
        <v/>
      </c>
      <c r="I921" s="4" t="n">
        <v>17550.96</v>
      </c>
      <c r="J921" t="inlineStr">
        <is>
          <t>actif</t>
        </is>
      </c>
    </row>
    <row r="922">
      <c r="A922" t="inlineStr">
        <is>
          <t>CTR-00942</t>
        </is>
      </c>
      <c r="B922" t="inlineStr">
        <is>
          <t>CLI-00657</t>
        </is>
      </c>
      <c r="C922" t="inlineStr">
        <is>
          <t>Île-de-France</t>
        </is>
      </c>
      <c r="D922" t="inlineStr">
        <is>
          <t>materiel</t>
        </is>
      </c>
      <c r="E922" t="inlineStr">
        <is>
          <t>crédit-bail</t>
        </is>
      </c>
      <c r="F922" t="inlineStr">
        <is>
          <t>2025-06-06</t>
        </is>
      </c>
      <c r="G922" s="4" t="n">
        <v>101020.58</v>
      </c>
      <c r="H922" s="4">
        <f>MAX(0,G922-SUMIFS('Paiements contrat'!$B:$B,'Paiements contrat'!$A:$A,A922))</f>
        <v/>
      </c>
      <c r="I922" s="4" t="n">
        <v>33997.72</v>
      </c>
      <c r="J922" t="inlineStr">
        <is>
          <t>actif</t>
        </is>
      </c>
    </row>
    <row r="923">
      <c r="A923" t="inlineStr">
        <is>
          <t>CTR-00943</t>
        </is>
      </c>
      <c r="B923" t="inlineStr">
        <is>
          <t>CLI-00890</t>
        </is>
      </c>
      <c r="C923" t="inlineStr">
        <is>
          <t>Guadeloupe</t>
        </is>
      </c>
      <c r="D923" t="inlineStr">
        <is>
          <t>auto</t>
        </is>
      </c>
      <c r="E923" t="inlineStr">
        <is>
          <t>LOA</t>
        </is>
      </c>
      <c r="F923" t="inlineStr">
        <is>
          <t>2026-01-12</t>
        </is>
      </c>
      <c r="G923" s="4" t="n">
        <v>33689.78</v>
      </c>
      <c r="H923" s="4">
        <f>MAX(0,G923-SUMIFS('Paiements contrat'!$B:$B,'Paiements contrat'!$A:$A,A923))</f>
        <v/>
      </c>
      <c r="I923" s="4" t="n">
        <v>31599.88</v>
      </c>
      <c r="J923" t="inlineStr">
        <is>
          <t>actif</t>
        </is>
      </c>
    </row>
    <row r="924">
      <c r="A924" t="inlineStr">
        <is>
          <t>CTR-00944</t>
        </is>
      </c>
      <c r="B924" t="inlineStr">
        <is>
          <t>CLI-01166</t>
        </is>
      </c>
      <c r="C924" t="inlineStr">
        <is>
          <t>Île-de-France</t>
        </is>
      </c>
      <c r="D924" t="inlineStr">
        <is>
          <t>materiel</t>
        </is>
      </c>
      <c r="E924" t="inlineStr">
        <is>
          <t>crédit-bail</t>
        </is>
      </c>
      <c r="F924" t="inlineStr">
        <is>
          <t>2025-12-07</t>
        </is>
      </c>
      <c r="G924" s="4" t="n">
        <v>149302.26</v>
      </c>
      <c r="H924" s="4">
        <f>MAX(0,G924-SUMIFS('Paiements contrat'!$B:$B,'Paiements contrat'!$A:$A,A924))</f>
        <v/>
      </c>
      <c r="I924" s="4" t="n">
        <v>137728.76</v>
      </c>
      <c r="J924" t="inlineStr">
        <is>
          <t>actif</t>
        </is>
      </c>
    </row>
    <row r="925">
      <c r="A925" t="inlineStr">
        <is>
          <t>CTR-00945</t>
        </is>
      </c>
      <c r="B925" t="inlineStr">
        <is>
          <t>CLI-01436</t>
        </is>
      </c>
      <c r="C925" t="inlineStr">
        <is>
          <t>Île-de-France</t>
        </is>
      </c>
      <c r="D925" t="inlineStr">
        <is>
          <t>auto</t>
        </is>
      </c>
      <c r="E925" t="inlineStr">
        <is>
          <t>LLD</t>
        </is>
      </c>
      <c r="F925" t="inlineStr">
        <is>
          <t>2026-01-17</t>
        </is>
      </c>
      <c r="G925" s="4" t="n">
        <v>33009.7</v>
      </c>
      <c r="H925" s="4">
        <f>MAX(0,G925-SUMIFS('Paiements contrat'!$B:$B,'Paiements contrat'!$A:$A,A925))</f>
        <v/>
      </c>
      <c r="I925" s="4" t="n">
        <v>27660.25</v>
      </c>
      <c r="J925" t="inlineStr">
        <is>
          <t>actif</t>
        </is>
      </c>
    </row>
    <row r="926">
      <c r="A926" t="inlineStr">
        <is>
          <t>CTR-00946</t>
        </is>
      </c>
      <c r="B926" t="inlineStr">
        <is>
          <t>CLI-00763</t>
        </is>
      </c>
      <c r="C926" t="inlineStr">
        <is>
          <t>Île-de-France</t>
        </is>
      </c>
      <c r="D926" t="inlineStr">
        <is>
          <t>auto</t>
        </is>
      </c>
      <c r="E926" t="inlineStr">
        <is>
          <t>LOA</t>
        </is>
      </c>
      <c r="F926" t="inlineStr">
        <is>
          <t>2024-08-22</t>
        </is>
      </c>
      <c r="G926" s="4" t="n">
        <v>30111.68</v>
      </c>
      <c r="H926" s="4">
        <f>MAX(0,G926-SUMIFS('Paiements contrat'!$B:$B,'Paiements contrat'!$A:$A,A926))</f>
        <v/>
      </c>
      <c r="I926" s="4" t="n">
        <v>18721.65824545455</v>
      </c>
      <c r="J926" t="inlineStr">
        <is>
          <t>actif</t>
        </is>
      </c>
    </row>
    <row r="927">
      <c r="A927" t="inlineStr">
        <is>
          <t>CTR-00947</t>
        </is>
      </c>
      <c r="B927" t="inlineStr">
        <is>
          <t>CLI-00745</t>
        </is>
      </c>
      <c r="C927" t="inlineStr">
        <is>
          <t>Guyane</t>
        </is>
      </c>
      <c r="D927" t="inlineStr">
        <is>
          <t>materiel</t>
        </is>
      </c>
      <c r="E927" t="inlineStr">
        <is>
          <t>crédit-bail</t>
        </is>
      </c>
      <c r="F927" t="inlineStr">
        <is>
          <t>2025-03-16</t>
        </is>
      </c>
      <c r="G927" s="4" t="n">
        <v>137319.9</v>
      </c>
      <c r="H927" s="4">
        <f>MAX(0,G927-SUMIFS('Paiements contrat'!$B:$B,'Paiements contrat'!$A:$A,A927))</f>
        <v/>
      </c>
      <c r="I927" s="4" t="n">
        <v>111281.23</v>
      </c>
      <c r="J927" t="inlineStr">
        <is>
          <t>actif</t>
        </is>
      </c>
    </row>
    <row r="928">
      <c r="A928" t="inlineStr">
        <is>
          <t>CTR-00948</t>
        </is>
      </c>
      <c r="B928" t="inlineStr">
        <is>
          <t>CLI-01133</t>
        </is>
      </c>
      <c r="C928" t="inlineStr">
        <is>
          <t>Île-de-France</t>
        </is>
      </c>
      <c r="D928" t="inlineStr">
        <is>
          <t>auto</t>
        </is>
      </c>
      <c r="E928" t="inlineStr">
        <is>
          <t>LOA</t>
        </is>
      </c>
      <c r="F928" t="inlineStr">
        <is>
          <t>2026-03-11</t>
        </is>
      </c>
      <c r="G928" s="4" t="n">
        <v>31488.97</v>
      </c>
      <c r="H928" s="4">
        <f>MAX(0,G928-SUMIFS('Paiements contrat'!$B:$B,'Paiements contrat'!$A:$A,A928))</f>
        <v/>
      </c>
      <c r="I928" s="4" t="n">
        <v>31488.97</v>
      </c>
      <c r="J928" t="inlineStr">
        <is>
          <t>actif</t>
        </is>
      </c>
    </row>
    <row r="929">
      <c r="A929" t="inlineStr">
        <is>
          <t>CTR-00949</t>
        </is>
      </c>
      <c r="B929" t="inlineStr">
        <is>
          <t>CLI-00031</t>
        </is>
      </c>
      <c r="C929" t="inlineStr">
        <is>
          <t>Île-de-France</t>
        </is>
      </c>
      <c r="D929" t="inlineStr">
        <is>
          <t>materiel</t>
        </is>
      </c>
      <c r="E929" t="inlineStr">
        <is>
          <t>crédit-bail</t>
        </is>
      </c>
      <c r="F929" t="inlineStr">
        <is>
          <t>2025-08-20</t>
        </is>
      </c>
      <c r="G929" s="4" t="n">
        <v>166897.95</v>
      </c>
      <c r="H929" s="4">
        <f>MAX(0,G929-SUMIFS('Paiements contrat'!$B:$B,'Paiements contrat'!$A:$A,A929))</f>
        <v/>
      </c>
      <c r="I929" s="4" t="n">
        <v>148138.81</v>
      </c>
      <c r="J929" t="inlineStr">
        <is>
          <t>actif</t>
        </is>
      </c>
    </row>
    <row r="930">
      <c r="A930" t="inlineStr">
        <is>
          <t>CTR-00950</t>
        </is>
      </c>
      <c r="B930" t="inlineStr">
        <is>
          <t>CLI-00792</t>
        </is>
      </c>
      <c r="C930" t="inlineStr">
        <is>
          <t>Île-de-France</t>
        </is>
      </c>
      <c r="D930" t="inlineStr">
        <is>
          <t>auto</t>
        </is>
      </c>
      <c r="E930" t="inlineStr">
        <is>
          <t>LOA</t>
        </is>
      </c>
      <c r="F930" t="inlineStr">
        <is>
          <t>2026-03-26</t>
        </is>
      </c>
      <c r="G930" s="4" t="n">
        <v>32706.75</v>
      </c>
      <c r="H930" s="4">
        <f>MAX(0,G930-SUMIFS('Paiements contrat'!$B:$B,'Paiements contrat'!$A:$A,A930))</f>
        <v/>
      </c>
      <c r="I930" s="4" t="n">
        <v>32706.75</v>
      </c>
      <c r="J930" t="inlineStr">
        <is>
          <t>actif</t>
        </is>
      </c>
    </row>
    <row r="931">
      <c r="A931" t="inlineStr">
        <is>
          <t>CTR-00951</t>
        </is>
      </c>
      <c r="B931" t="inlineStr">
        <is>
          <t>CLI-00437</t>
        </is>
      </c>
      <c r="C931" t="inlineStr">
        <is>
          <t>Martinique</t>
        </is>
      </c>
      <c r="D931" t="inlineStr">
        <is>
          <t>materiel</t>
        </is>
      </c>
      <c r="E931" t="inlineStr">
        <is>
          <t>crédit-bail</t>
        </is>
      </c>
      <c r="F931" t="inlineStr">
        <is>
          <t>2025-10-03</t>
        </is>
      </c>
      <c r="G931" s="4" t="n">
        <v>36991.4</v>
      </c>
      <c r="H931" s="4">
        <f>MAX(0,G931-SUMIFS('Paiements contrat'!$B:$B,'Paiements contrat'!$A:$A,A931))</f>
        <v/>
      </c>
      <c r="I931" s="4" t="n">
        <v>34337.24000000001</v>
      </c>
      <c r="J931" t="inlineStr">
        <is>
          <t>actif</t>
        </is>
      </c>
    </row>
    <row r="932">
      <c r="A932" t="inlineStr">
        <is>
          <t>CTR-00952</t>
        </is>
      </c>
      <c r="B932" t="inlineStr">
        <is>
          <t>CLI-01413</t>
        </is>
      </c>
      <c r="C932" t="inlineStr">
        <is>
          <t>Guadeloupe</t>
        </is>
      </c>
      <c r="D932" t="inlineStr">
        <is>
          <t>auto</t>
        </is>
      </c>
      <c r="E932" t="inlineStr">
        <is>
          <t>LLD</t>
        </is>
      </c>
      <c r="F932" t="inlineStr">
        <is>
          <t>2025-12-18</t>
        </is>
      </c>
      <c r="G932" s="4" t="n">
        <v>15206.8</v>
      </c>
      <c r="H932" s="4">
        <f>MAX(0,G932-SUMIFS('Paiements contrat'!$B:$B,'Paiements contrat'!$A:$A,A932))</f>
        <v/>
      </c>
      <c r="I932" s="4" t="n">
        <v>12715.6</v>
      </c>
      <c r="J932" t="inlineStr">
        <is>
          <t>actif</t>
        </is>
      </c>
    </row>
    <row r="933">
      <c r="A933" t="inlineStr">
        <is>
          <t>CTR-00953</t>
        </is>
      </c>
      <c r="B933" t="inlineStr">
        <is>
          <t>CLI-00792</t>
        </is>
      </c>
      <c r="C933" t="inlineStr">
        <is>
          <t>Île-de-France</t>
        </is>
      </c>
      <c r="D933" t="inlineStr">
        <is>
          <t>bateau</t>
        </is>
      </c>
      <c r="E933" t="inlineStr">
        <is>
          <t>LOA</t>
        </is>
      </c>
      <c r="F933" t="inlineStr">
        <is>
          <t>2025-10-22</t>
        </is>
      </c>
      <c r="G933" s="4" t="n">
        <v>69416.59</v>
      </c>
      <c r="H933" s="4">
        <f>MAX(0,G933-SUMIFS('Paiements contrat'!$B:$B,'Paiements contrat'!$A:$A,A933))</f>
        <v/>
      </c>
      <c r="I933" s="4" t="n">
        <v>58629.75</v>
      </c>
      <c r="J933" t="inlineStr">
        <is>
          <t>actif</t>
        </is>
      </c>
    </row>
    <row r="934">
      <c r="A934" t="inlineStr">
        <is>
          <t>CTR-00954</t>
        </is>
      </c>
      <c r="B934" t="inlineStr">
        <is>
          <t>CLI-01493</t>
        </is>
      </c>
      <c r="C934" t="inlineStr">
        <is>
          <t>Guyane</t>
        </is>
      </c>
      <c r="D934" t="inlineStr">
        <is>
          <t>auto</t>
        </is>
      </c>
      <c r="E934" t="inlineStr">
        <is>
          <t>LLD</t>
        </is>
      </c>
      <c r="F934" t="inlineStr">
        <is>
          <t>2025-01-05</t>
        </is>
      </c>
      <c r="G934" s="4" t="n">
        <v>38640.82</v>
      </c>
      <c r="H934" s="4">
        <f>MAX(0,G934-SUMIFS('Paiements contrat'!$B:$B,'Paiements contrat'!$A:$A,A934))</f>
        <v/>
      </c>
      <c r="I934" s="4" t="n">
        <v>19522.11</v>
      </c>
      <c r="J934" t="inlineStr">
        <is>
          <t>actif</t>
        </is>
      </c>
    </row>
    <row r="935">
      <c r="A935" t="inlineStr">
        <is>
          <t>CTR-00955</t>
        </is>
      </c>
      <c r="B935" t="inlineStr">
        <is>
          <t>CLI-00915</t>
        </is>
      </c>
      <c r="C935" t="inlineStr">
        <is>
          <t>Île-de-France</t>
        </is>
      </c>
      <c r="D935" t="inlineStr">
        <is>
          <t>materiel</t>
        </is>
      </c>
      <c r="E935" t="inlineStr">
        <is>
          <t>crédit-bail</t>
        </is>
      </c>
      <c r="F935" t="inlineStr">
        <is>
          <t>2025-04-20</t>
        </is>
      </c>
      <c r="G935" s="4" t="n">
        <v>80977.12</v>
      </c>
      <c r="H935" s="4">
        <f>MAX(0,G935-SUMIFS('Paiements contrat'!$B:$B,'Paiements contrat'!$A:$A,A935))</f>
        <v/>
      </c>
      <c r="I935" s="4" t="n">
        <v>45473.25999999999</v>
      </c>
      <c r="J935" t="inlineStr">
        <is>
          <t>actif</t>
        </is>
      </c>
    </row>
    <row r="936">
      <c r="A936" t="inlineStr">
        <is>
          <t>CTR-00956</t>
        </is>
      </c>
      <c r="B936" t="inlineStr">
        <is>
          <t>CLI-00721</t>
        </is>
      </c>
      <c r="C936" t="inlineStr">
        <is>
          <t>Guyane</t>
        </is>
      </c>
      <c r="D936" t="inlineStr">
        <is>
          <t>auto</t>
        </is>
      </c>
      <c r="E936" t="inlineStr">
        <is>
          <t>LLD</t>
        </is>
      </c>
      <c r="F936" t="inlineStr">
        <is>
          <t>2025-01-16</t>
        </is>
      </c>
      <c r="G936" s="4" t="n">
        <v>10389.05</v>
      </c>
      <c r="H936" s="4">
        <f>MAX(0,G936-SUMIFS('Paiements contrat'!$B:$B,'Paiements contrat'!$A:$A,A936))</f>
        <v/>
      </c>
      <c r="I936" s="4" t="n">
        <v>7203.687377181121</v>
      </c>
      <c r="J936" t="inlineStr">
        <is>
          <t>actif</t>
        </is>
      </c>
    </row>
    <row r="937">
      <c r="A937" t="inlineStr">
        <is>
          <t>CTR-00957</t>
        </is>
      </c>
      <c r="B937" t="inlineStr">
        <is>
          <t>CLI-00198</t>
        </is>
      </c>
      <c r="C937" t="inlineStr">
        <is>
          <t>Île-de-France</t>
        </is>
      </c>
      <c r="D937" t="inlineStr">
        <is>
          <t>bateau</t>
        </is>
      </c>
      <c r="E937" t="inlineStr">
        <is>
          <t>LOA</t>
        </is>
      </c>
      <c r="F937" t="inlineStr">
        <is>
          <t>2025-08-27</t>
        </is>
      </c>
      <c r="G937" s="4" t="n">
        <v>23668.17</v>
      </c>
      <c r="H937" s="4">
        <f>MAX(0,G937-SUMIFS('Paiements contrat'!$B:$B,'Paiements contrat'!$A:$A,A937))</f>
        <v/>
      </c>
      <c r="I937" s="4" t="n">
        <v>17148.42</v>
      </c>
      <c r="J937" t="inlineStr">
        <is>
          <t>actif</t>
        </is>
      </c>
    </row>
    <row r="938">
      <c r="A938" t="inlineStr">
        <is>
          <t>CTR-00958</t>
        </is>
      </c>
      <c r="B938" t="inlineStr">
        <is>
          <t>CLI-00193</t>
        </is>
      </c>
      <c r="C938" t="inlineStr">
        <is>
          <t>Île-de-France</t>
        </is>
      </c>
      <c r="D938" t="inlineStr">
        <is>
          <t>auto</t>
        </is>
      </c>
      <c r="E938" t="inlineStr">
        <is>
          <t>LOA</t>
        </is>
      </c>
      <c r="F938" t="inlineStr">
        <is>
          <t>2025-05-23</t>
        </is>
      </c>
      <c r="G938" s="4" t="n">
        <v>39084.59</v>
      </c>
      <c r="H938" s="4">
        <f>MAX(0,G938-SUMIFS('Paiements contrat'!$B:$B,'Paiements contrat'!$A:$A,A938))</f>
        <v/>
      </c>
      <c r="I938" s="4" t="n">
        <v>33646.02</v>
      </c>
      <c r="J938" t="inlineStr">
        <is>
          <t>actif</t>
        </is>
      </c>
    </row>
    <row r="939">
      <c r="A939" t="inlineStr">
        <is>
          <t>CTR-00959</t>
        </is>
      </c>
      <c r="B939" t="inlineStr">
        <is>
          <t>CLI-01144</t>
        </is>
      </c>
      <c r="C939" t="inlineStr">
        <is>
          <t>Île-de-France</t>
        </is>
      </c>
      <c r="D939" t="inlineStr">
        <is>
          <t>auto</t>
        </is>
      </c>
      <c r="E939" t="inlineStr">
        <is>
          <t>LLD</t>
        </is>
      </c>
      <c r="F939" t="inlineStr">
        <is>
          <t>2025-03-14</t>
        </is>
      </c>
      <c r="G939" s="4" t="n">
        <v>55584.88</v>
      </c>
      <c r="H939" s="4">
        <f>MAX(0,G939-SUMIFS('Paiements contrat'!$B:$B,'Paiements contrat'!$A:$A,A939))</f>
        <v/>
      </c>
      <c r="I939" s="4" t="n">
        <v>40003.2127237987</v>
      </c>
      <c r="J939" t="inlineStr">
        <is>
          <t>actif</t>
        </is>
      </c>
    </row>
    <row r="940">
      <c r="A940" t="inlineStr">
        <is>
          <t>CTR-00960</t>
        </is>
      </c>
      <c r="B940" t="inlineStr">
        <is>
          <t>CLI-00732</t>
        </is>
      </c>
      <c r="C940" t="inlineStr">
        <is>
          <t>Île-de-France</t>
        </is>
      </c>
      <c r="D940" t="inlineStr">
        <is>
          <t>auto</t>
        </is>
      </c>
      <c r="E940" t="inlineStr">
        <is>
          <t>LOA</t>
        </is>
      </c>
      <c r="F940" t="inlineStr">
        <is>
          <t>2025-09-17</t>
        </is>
      </c>
      <c r="G940" s="4" t="n">
        <v>61924.81</v>
      </c>
      <c r="H940" s="4">
        <f>MAX(0,G940-SUMIFS('Paiements contrat'!$B:$B,'Paiements contrat'!$A:$A,A940))</f>
        <v/>
      </c>
      <c r="I940" s="4" t="n">
        <v>52054.72</v>
      </c>
      <c r="J940" t="inlineStr">
        <is>
          <t>actif</t>
        </is>
      </c>
    </row>
    <row r="941">
      <c r="A941" t="inlineStr">
        <is>
          <t>CTR-00961</t>
        </is>
      </c>
      <c r="B941" t="inlineStr">
        <is>
          <t>CLI-01240</t>
        </is>
      </c>
      <c r="C941" t="inlineStr">
        <is>
          <t>Île-de-France</t>
        </is>
      </c>
      <c r="D941" t="inlineStr">
        <is>
          <t>auto</t>
        </is>
      </c>
      <c r="E941" t="inlineStr">
        <is>
          <t>LOA</t>
        </is>
      </c>
      <c r="F941" t="inlineStr">
        <is>
          <t>2024-08-18</t>
        </is>
      </c>
      <c r="G941" s="4" t="n">
        <v>46600.49</v>
      </c>
      <c r="H941" s="4">
        <f>MAX(0,G941-SUMIFS('Paiements contrat'!$B:$B,'Paiements contrat'!$A:$A,A941))</f>
        <v/>
      </c>
      <c r="I941" s="4" t="n">
        <v>16073.7</v>
      </c>
      <c r="J941" t="inlineStr">
        <is>
          <t>actif</t>
        </is>
      </c>
    </row>
    <row r="942">
      <c r="A942" t="inlineStr">
        <is>
          <t>CTR-00962</t>
        </is>
      </c>
      <c r="B942" t="inlineStr">
        <is>
          <t>CLI-00907</t>
        </is>
      </c>
      <c r="C942" t="inlineStr">
        <is>
          <t>Martinique</t>
        </is>
      </c>
      <c r="D942" t="inlineStr">
        <is>
          <t>auto</t>
        </is>
      </c>
      <c r="E942" t="inlineStr">
        <is>
          <t>LLD</t>
        </is>
      </c>
      <c r="F942" t="inlineStr">
        <is>
          <t>2025-10-01</t>
        </is>
      </c>
      <c r="G942" s="4" t="n">
        <v>10051.28</v>
      </c>
      <c r="H942" s="4">
        <f>MAX(0,G942-SUMIFS('Paiements contrat'!$B:$B,'Paiements contrat'!$A:$A,A942))</f>
        <v/>
      </c>
      <c r="I942" s="4" t="n">
        <v>9150.200000000001</v>
      </c>
      <c r="J942" t="inlineStr">
        <is>
          <t>actif</t>
        </is>
      </c>
    </row>
    <row r="943">
      <c r="A943" t="inlineStr">
        <is>
          <t>CTR-00963</t>
        </is>
      </c>
      <c r="B943" t="inlineStr">
        <is>
          <t>CLI-00380</t>
        </is>
      </c>
      <c r="C943" t="inlineStr">
        <is>
          <t>Île-de-France</t>
        </is>
      </c>
      <c r="D943" t="inlineStr">
        <is>
          <t>auto</t>
        </is>
      </c>
      <c r="E943" t="inlineStr">
        <is>
          <t>LOA</t>
        </is>
      </c>
      <c r="F943" t="inlineStr">
        <is>
          <t>2025-09-08</t>
        </is>
      </c>
      <c r="G943" s="4" t="n">
        <v>48907.92</v>
      </c>
      <c r="H943" s="4">
        <f>MAX(0,G943-SUMIFS('Paiements contrat'!$B:$B,'Paiements contrat'!$A:$A,A943))</f>
        <v/>
      </c>
      <c r="I943" s="4" t="n">
        <v>39498.46</v>
      </c>
      <c r="J943" t="inlineStr">
        <is>
          <t>actif</t>
        </is>
      </c>
    </row>
    <row r="944">
      <c r="A944" t="inlineStr">
        <is>
          <t>CTR-00964</t>
        </is>
      </c>
      <c r="B944" t="inlineStr">
        <is>
          <t>CLI-00205</t>
        </is>
      </c>
      <c r="C944" t="inlineStr">
        <is>
          <t>Île-de-France</t>
        </is>
      </c>
      <c r="D944" t="inlineStr">
        <is>
          <t>materiel</t>
        </is>
      </c>
      <c r="E944" t="inlineStr">
        <is>
          <t>crédit-bail</t>
        </is>
      </c>
      <c r="F944" t="inlineStr">
        <is>
          <t>2024-11-10</t>
        </is>
      </c>
      <c r="G944" s="4" t="n">
        <v>102504.44</v>
      </c>
      <c r="H944" s="4">
        <f>MAX(0,G944-SUMIFS('Paiements contrat'!$B:$B,'Paiements contrat'!$A:$A,A944))</f>
        <v/>
      </c>
      <c r="I944" s="4" t="n">
        <v>41004.62006271837</v>
      </c>
      <c r="J944" t="inlineStr">
        <is>
          <t>actif</t>
        </is>
      </c>
    </row>
    <row r="945">
      <c r="A945" t="inlineStr">
        <is>
          <t>CTR-00965</t>
        </is>
      </c>
      <c r="B945" t="inlineStr">
        <is>
          <t>CLI-00797</t>
        </is>
      </c>
      <c r="C945" t="inlineStr">
        <is>
          <t>Île-de-France</t>
        </is>
      </c>
      <c r="D945" t="inlineStr">
        <is>
          <t>auto</t>
        </is>
      </c>
      <c r="E945" t="inlineStr">
        <is>
          <t>LOA</t>
        </is>
      </c>
      <c r="F945" t="inlineStr">
        <is>
          <t>2024-10-19</t>
        </is>
      </c>
      <c r="G945" s="4" t="n">
        <v>32980.01</v>
      </c>
      <c r="H945" s="4">
        <f>MAX(0,G945-SUMIFS('Paiements contrat'!$B:$B,'Paiements contrat'!$A:$A,A945))</f>
        <v/>
      </c>
      <c r="I945" s="4" t="n">
        <v>19165.2337194134</v>
      </c>
      <c r="J945" t="inlineStr">
        <is>
          <t>actif</t>
        </is>
      </c>
    </row>
    <row r="946">
      <c r="A946" t="inlineStr">
        <is>
          <t>CTR-00966</t>
        </is>
      </c>
      <c r="B946" t="inlineStr">
        <is>
          <t>CLI-00440</t>
        </is>
      </c>
      <c r="C946" t="inlineStr">
        <is>
          <t>Réunion</t>
        </is>
      </c>
      <c r="D946" t="inlineStr">
        <is>
          <t>auto</t>
        </is>
      </c>
      <c r="E946" t="inlineStr">
        <is>
          <t>LLD</t>
        </is>
      </c>
      <c r="F946" t="inlineStr">
        <is>
          <t>2025-07-23</t>
        </is>
      </c>
      <c r="G946" s="4" t="n">
        <v>28795.36</v>
      </c>
      <c r="H946" s="4">
        <f>MAX(0,G946-SUMIFS('Paiements contrat'!$B:$B,'Paiements contrat'!$A:$A,A946))</f>
        <v/>
      </c>
      <c r="I946" s="4" t="n">
        <v>19613.93</v>
      </c>
      <c r="J946" t="inlineStr">
        <is>
          <t>actif</t>
        </is>
      </c>
    </row>
    <row r="947">
      <c r="A947" t="inlineStr">
        <is>
          <t>CTR-00967</t>
        </is>
      </c>
      <c r="B947" t="inlineStr">
        <is>
          <t>CLI-01457</t>
        </is>
      </c>
      <c r="C947" t="inlineStr">
        <is>
          <t>Guyane</t>
        </is>
      </c>
      <c r="D947" t="inlineStr">
        <is>
          <t>auto</t>
        </is>
      </c>
      <c r="E947" t="inlineStr">
        <is>
          <t>LOA</t>
        </is>
      </c>
      <c r="F947" t="inlineStr">
        <is>
          <t>2025-05-27</t>
        </is>
      </c>
      <c r="G947" s="4" t="n">
        <v>31126.5</v>
      </c>
      <c r="H947" s="4">
        <f>MAX(0,G947-SUMIFS('Paiements contrat'!$B:$B,'Paiements contrat'!$A:$A,A947))</f>
        <v/>
      </c>
      <c r="I947" s="4" t="n">
        <v>21349.85</v>
      </c>
      <c r="J947" t="inlineStr">
        <is>
          <t>actif</t>
        </is>
      </c>
    </row>
    <row r="948">
      <c r="A948" t="inlineStr">
        <is>
          <t>CTR-00968</t>
        </is>
      </c>
      <c r="B948" t="inlineStr">
        <is>
          <t>CLI-00988</t>
        </is>
      </c>
      <c r="C948" t="inlineStr">
        <is>
          <t>Guadeloupe</t>
        </is>
      </c>
      <c r="D948" t="inlineStr">
        <is>
          <t>auto</t>
        </is>
      </c>
      <c r="E948" t="inlineStr">
        <is>
          <t>LLD</t>
        </is>
      </c>
      <c r="F948" t="inlineStr">
        <is>
          <t>2026-01-26</t>
        </is>
      </c>
      <c r="G948" s="4" t="n">
        <v>13301.11</v>
      </c>
      <c r="H948" s="4">
        <f>MAX(0,G948-SUMIFS('Paiements contrat'!$B:$B,'Paiements contrat'!$A:$A,A948))</f>
        <v/>
      </c>
      <c r="I948" s="4" t="n">
        <v>12799.03</v>
      </c>
      <c r="J948" t="inlineStr">
        <is>
          <t>actif</t>
        </is>
      </c>
    </row>
    <row r="949">
      <c r="A949" t="inlineStr">
        <is>
          <t>CTR-00969</t>
        </is>
      </c>
      <c r="B949" t="inlineStr">
        <is>
          <t>CLI-00925</t>
        </is>
      </c>
      <c r="C949" t="inlineStr">
        <is>
          <t>Réunion</t>
        </is>
      </c>
      <c r="D949" t="inlineStr">
        <is>
          <t>auto</t>
        </is>
      </c>
      <c r="E949" t="inlineStr">
        <is>
          <t>LOA</t>
        </is>
      </c>
      <c r="F949" t="inlineStr">
        <is>
          <t>2025-05-03</t>
        </is>
      </c>
      <c r="G949" s="4" t="n">
        <v>35221.29</v>
      </c>
      <c r="H949" s="4">
        <f>MAX(0,G949-SUMIFS('Paiements contrat'!$B:$B,'Paiements contrat'!$A:$A,A949))</f>
        <v/>
      </c>
      <c r="I949" s="4" t="n">
        <v>17924.22</v>
      </c>
      <c r="J949" t="inlineStr">
        <is>
          <t>actif</t>
        </is>
      </c>
    </row>
    <row r="950">
      <c r="A950" t="inlineStr">
        <is>
          <t>CTR-00970</t>
        </is>
      </c>
      <c r="B950" t="inlineStr">
        <is>
          <t>CLI-01483</t>
        </is>
      </c>
      <c r="C950" t="inlineStr">
        <is>
          <t>Île-de-France</t>
        </is>
      </c>
      <c r="D950" t="inlineStr">
        <is>
          <t>auto</t>
        </is>
      </c>
      <c r="E950" t="inlineStr">
        <is>
          <t>LLD</t>
        </is>
      </c>
      <c r="F950" t="inlineStr">
        <is>
          <t>2024-12-07</t>
        </is>
      </c>
      <c r="G950" s="4" t="n">
        <v>40282.69</v>
      </c>
      <c r="H950" s="4">
        <f>MAX(0,G950-SUMIFS('Paiements contrat'!$B:$B,'Paiements contrat'!$A:$A,A950))</f>
        <v/>
      </c>
      <c r="I950" s="4" t="n">
        <v>27708.43</v>
      </c>
      <c r="J950" t="inlineStr">
        <is>
          <t>actif</t>
        </is>
      </c>
    </row>
    <row r="951">
      <c r="A951" t="inlineStr">
        <is>
          <t>CTR-00971</t>
        </is>
      </c>
      <c r="B951" t="inlineStr">
        <is>
          <t>CLI-01394</t>
        </is>
      </c>
      <c r="C951" t="inlineStr">
        <is>
          <t>Île-de-France</t>
        </is>
      </c>
      <c r="D951" t="inlineStr">
        <is>
          <t>materiel</t>
        </is>
      </c>
      <c r="E951" t="inlineStr">
        <is>
          <t>crédit-bail</t>
        </is>
      </c>
      <c r="F951" t="inlineStr">
        <is>
          <t>2025-09-16</t>
        </is>
      </c>
      <c r="G951" s="4" t="n">
        <v>70413.23</v>
      </c>
      <c r="H951" s="4">
        <f>MAX(0,G951-SUMIFS('Paiements contrat'!$B:$B,'Paiements contrat'!$A:$A,A951))</f>
        <v/>
      </c>
      <c r="I951" s="4" t="n">
        <v>59073.59999999999</v>
      </c>
      <c r="J951" t="inlineStr">
        <is>
          <t>actif</t>
        </is>
      </c>
    </row>
    <row r="952">
      <c r="A952" t="inlineStr">
        <is>
          <t>CTR-00972</t>
        </is>
      </c>
      <c r="B952" t="inlineStr">
        <is>
          <t>CLI-00156</t>
        </is>
      </c>
      <c r="C952" t="inlineStr">
        <is>
          <t>Île-de-France</t>
        </is>
      </c>
      <c r="D952" t="inlineStr">
        <is>
          <t>auto</t>
        </is>
      </c>
      <c r="E952" t="inlineStr">
        <is>
          <t>LLD</t>
        </is>
      </c>
      <c r="F952" t="inlineStr">
        <is>
          <t>2025-05-08</t>
        </is>
      </c>
      <c r="G952" s="4" t="n">
        <v>27326.77</v>
      </c>
      <c r="H952" s="4">
        <f>MAX(0,G952-SUMIFS('Paiements contrat'!$B:$B,'Paiements contrat'!$A:$A,A952))</f>
        <v/>
      </c>
      <c r="I952" s="4" t="n">
        <v>7021.93</v>
      </c>
      <c r="J952" t="inlineStr">
        <is>
          <t>actif</t>
        </is>
      </c>
    </row>
    <row r="953">
      <c r="A953" t="inlineStr">
        <is>
          <t>CTR-00973</t>
        </is>
      </c>
      <c r="B953" t="inlineStr">
        <is>
          <t>CLI-00526</t>
        </is>
      </c>
      <c r="C953" t="inlineStr">
        <is>
          <t>Île-de-France</t>
        </is>
      </c>
      <c r="D953" t="inlineStr">
        <is>
          <t>auto</t>
        </is>
      </c>
      <c r="E953" t="inlineStr">
        <is>
          <t>LLD</t>
        </is>
      </c>
      <c r="F953" t="inlineStr">
        <is>
          <t>2024-09-03</t>
        </is>
      </c>
      <c r="G953" s="4" t="n">
        <v>52635.65</v>
      </c>
      <c r="H953" s="4">
        <f>MAX(0,G953-SUMIFS('Paiements contrat'!$B:$B,'Paiements contrat'!$A:$A,A953))</f>
        <v/>
      </c>
      <c r="I953" s="4" t="n">
        <v>20521.45</v>
      </c>
      <c r="J953" t="inlineStr">
        <is>
          <t>actif</t>
        </is>
      </c>
    </row>
    <row r="954">
      <c r="A954" t="inlineStr">
        <is>
          <t>CTR-00974</t>
        </is>
      </c>
      <c r="B954" t="inlineStr">
        <is>
          <t>CLI-01159</t>
        </is>
      </c>
      <c r="C954" t="inlineStr">
        <is>
          <t>Île-de-France</t>
        </is>
      </c>
      <c r="D954" t="inlineStr">
        <is>
          <t>bateau</t>
        </is>
      </c>
      <c r="E954" t="inlineStr">
        <is>
          <t>LOA</t>
        </is>
      </c>
      <c r="F954" t="inlineStr">
        <is>
          <t>2025-09-17</t>
        </is>
      </c>
      <c r="G954" s="4" t="n">
        <v>66921.32000000001</v>
      </c>
      <c r="H954" s="4">
        <f>MAX(0,G954-SUMIFS('Paiements contrat'!$B:$B,'Paiements contrat'!$A:$A,A954))</f>
        <v/>
      </c>
      <c r="I954" s="4" t="n">
        <v>56599.23000000001</v>
      </c>
      <c r="J954" t="inlineStr">
        <is>
          <t>actif</t>
        </is>
      </c>
    </row>
    <row r="955">
      <c r="A955" t="inlineStr">
        <is>
          <t>CTR-00975</t>
        </is>
      </c>
      <c r="B955" t="inlineStr">
        <is>
          <t>CLI-00179</t>
        </is>
      </c>
      <c r="C955" t="inlineStr">
        <is>
          <t>Île-de-France</t>
        </is>
      </c>
      <c r="D955" t="inlineStr">
        <is>
          <t>auto</t>
        </is>
      </c>
      <c r="E955" t="inlineStr">
        <is>
          <t>LLD</t>
        </is>
      </c>
      <c r="F955" t="inlineStr">
        <is>
          <t>2026-02-20</t>
        </is>
      </c>
      <c r="G955" s="4" t="n">
        <v>39849.08</v>
      </c>
      <c r="H955" s="4">
        <f>MAX(0,G955-SUMIFS('Paiements contrat'!$B:$B,'Paiements contrat'!$A:$A,A955))</f>
        <v/>
      </c>
      <c r="I955" s="4" t="n">
        <v>39260.18</v>
      </c>
      <c r="J955" t="inlineStr">
        <is>
          <t>actif</t>
        </is>
      </c>
    </row>
    <row r="956">
      <c r="A956" t="inlineStr">
        <is>
          <t>CTR-00976</t>
        </is>
      </c>
      <c r="B956" t="inlineStr">
        <is>
          <t>CLI-00038</t>
        </is>
      </c>
      <c r="C956" t="inlineStr">
        <is>
          <t>Île-de-France</t>
        </is>
      </c>
      <c r="D956" t="inlineStr">
        <is>
          <t>materiel</t>
        </is>
      </c>
      <c r="E956" t="inlineStr">
        <is>
          <t>crédit-bail</t>
        </is>
      </c>
      <c r="F956" t="inlineStr">
        <is>
          <t>2024-11-22</t>
        </is>
      </c>
      <c r="G956" s="4" t="n">
        <v>94646.7</v>
      </c>
      <c r="H956" s="4">
        <f>MAX(0,G956-SUMIFS('Paiements contrat'!$B:$B,'Paiements contrat'!$A:$A,A956))</f>
        <v/>
      </c>
      <c r="I956" s="4" t="n">
        <v>67990.48</v>
      </c>
      <c r="J956" t="inlineStr">
        <is>
          <t>actif</t>
        </is>
      </c>
    </row>
    <row r="957">
      <c r="A957" t="inlineStr">
        <is>
          <t>CTR-00977</t>
        </is>
      </c>
      <c r="B957" t="inlineStr">
        <is>
          <t>CLI-01449</t>
        </is>
      </c>
      <c r="C957" t="inlineStr">
        <is>
          <t>Île-de-France</t>
        </is>
      </c>
      <c r="D957" t="inlineStr">
        <is>
          <t>bateau</t>
        </is>
      </c>
      <c r="E957" t="inlineStr">
        <is>
          <t>LOA</t>
        </is>
      </c>
      <c r="F957" t="inlineStr">
        <is>
          <t>2026-02-04</t>
        </is>
      </c>
      <c r="G957" s="4" t="n">
        <v>52509.82</v>
      </c>
      <c r="H957" s="4">
        <f>MAX(0,G957-SUMIFS('Paiements contrat'!$B:$B,'Paiements contrat'!$A:$A,A957))</f>
        <v/>
      </c>
      <c r="I957" s="4" t="n">
        <v>51538.49</v>
      </c>
      <c r="J957" t="inlineStr">
        <is>
          <t>actif</t>
        </is>
      </c>
    </row>
    <row r="958">
      <c r="A958" t="inlineStr">
        <is>
          <t>CTR-00978</t>
        </is>
      </c>
      <c r="B958" t="inlineStr">
        <is>
          <t>CLI-00741</t>
        </is>
      </c>
      <c r="C958" t="inlineStr">
        <is>
          <t>Île-de-France</t>
        </is>
      </c>
      <c r="D958" t="inlineStr">
        <is>
          <t>auto</t>
        </is>
      </c>
      <c r="E958" t="inlineStr">
        <is>
          <t>LOA</t>
        </is>
      </c>
      <c r="F958" t="inlineStr">
        <is>
          <t>2024-06-09</t>
        </is>
      </c>
      <c r="G958" s="4" t="n">
        <v>35890.54</v>
      </c>
      <c r="H958" s="4">
        <f>MAX(0,G958-SUMIFS('Paiements contrat'!$B:$B,'Paiements contrat'!$A:$A,A958))</f>
        <v/>
      </c>
      <c r="I958" s="4" t="n">
        <v>7148.068686664512</v>
      </c>
      <c r="J958" t="inlineStr">
        <is>
          <t>contentieux</t>
        </is>
      </c>
    </row>
    <row r="959">
      <c r="A959" t="inlineStr">
        <is>
          <t>CTR-00979</t>
        </is>
      </c>
      <c r="B959" t="inlineStr">
        <is>
          <t>CLI-00064</t>
        </is>
      </c>
      <c r="C959" t="inlineStr">
        <is>
          <t>Île-de-France</t>
        </is>
      </c>
      <c r="D959" t="inlineStr">
        <is>
          <t>auto</t>
        </is>
      </c>
      <c r="E959" t="inlineStr">
        <is>
          <t>LLD</t>
        </is>
      </c>
      <c r="F959" t="inlineStr">
        <is>
          <t>2025-12-27</t>
        </is>
      </c>
      <c r="G959" s="4" t="n">
        <v>51960.13</v>
      </c>
      <c r="H959" s="4">
        <f>MAX(0,G959-SUMIFS('Paiements contrat'!$B:$B,'Paiements contrat'!$A:$A,A959))</f>
        <v/>
      </c>
      <c r="I959" s="4" t="n">
        <v>45631.5</v>
      </c>
      <c r="J959" t="inlineStr">
        <is>
          <t>actif</t>
        </is>
      </c>
    </row>
    <row r="960">
      <c r="A960" t="inlineStr">
        <is>
          <t>CTR-00980</t>
        </is>
      </c>
      <c r="B960" t="inlineStr">
        <is>
          <t>CLI-01198</t>
        </is>
      </c>
      <c r="C960" t="inlineStr">
        <is>
          <t>Réunion</t>
        </is>
      </c>
      <c r="D960" t="inlineStr">
        <is>
          <t>auto</t>
        </is>
      </c>
      <c r="E960" t="inlineStr">
        <is>
          <t>LLD</t>
        </is>
      </c>
      <c r="F960" t="inlineStr">
        <is>
          <t>2025-06-07</t>
        </is>
      </c>
      <c r="G960" s="4" t="n">
        <v>33104.51</v>
      </c>
      <c r="H960" s="4">
        <f>MAX(0,G960-SUMIFS('Paiements contrat'!$B:$B,'Paiements contrat'!$A:$A,A960))</f>
        <v/>
      </c>
      <c r="I960" s="4" t="n">
        <v>21194.49</v>
      </c>
      <c r="J960" t="inlineStr">
        <is>
          <t>actif</t>
        </is>
      </c>
    </row>
    <row r="961">
      <c r="A961" t="inlineStr">
        <is>
          <t>CTR-00981</t>
        </is>
      </c>
      <c r="B961" t="inlineStr">
        <is>
          <t>CLI-00376</t>
        </is>
      </c>
      <c r="C961" t="inlineStr">
        <is>
          <t>Île-de-France</t>
        </is>
      </c>
      <c r="D961" t="inlineStr">
        <is>
          <t>materiel</t>
        </is>
      </c>
      <c r="E961" t="inlineStr">
        <is>
          <t>crédit-bail</t>
        </is>
      </c>
      <c r="F961" t="inlineStr">
        <is>
          <t>2025-08-20</t>
        </is>
      </c>
      <c r="G961" s="4" t="n">
        <v>74839.57000000001</v>
      </c>
      <c r="H961" s="4">
        <f>MAX(0,G961-SUMIFS('Paiements contrat'!$B:$B,'Paiements contrat'!$A:$A,A961))</f>
        <v/>
      </c>
      <c r="I961" s="4" t="n">
        <v>63568.96000000001</v>
      </c>
      <c r="J961" t="inlineStr">
        <is>
          <t>actif</t>
        </is>
      </c>
    </row>
    <row r="962">
      <c r="A962" t="inlineStr">
        <is>
          <t>CTR-00982</t>
        </is>
      </c>
      <c r="B962" t="inlineStr">
        <is>
          <t>CLI-01485</t>
        </is>
      </c>
      <c r="C962" t="inlineStr">
        <is>
          <t>Guadeloupe</t>
        </is>
      </c>
      <c r="D962" t="inlineStr">
        <is>
          <t>auto</t>
        </is>
      </c>
      <c r="E962" t="inlineStr">
        <is>
          <t>LLD</t>
        </is>
      </c>
      <c r="F962" t="inlineStr">
        <is>
          <t>2024-05-02</t>
        </is>
      </c>
      <c r="G962" s="4" t="n">
        <v>67109.91</v>
      </c>
      <c r="H962" s="4">
        <f>MAX(0,G962-SUMIFS('Paiements contrat'!$B:$B,'Paiements contrat'!$A:$A,A962))</f>
        <v/>
      </c>
      <c r="I962" s="4" t="n">
        <v>35167.2976289981</v>
      </c>
      <c r="J962" t="inlineStr">
        <is>
          <t>actif</t>
        </is>
      </c>
    </row>
    <row r="963">
      <c r="A963" t="inlineStr">
        <is>
          <t>CTR-00983</t>
        </is>
      </c>
      <c r="B963" t="inlineStr">
        <is>
          <t>CLI-00750</t>
        </is>
      </c>
      <c r="C963" t="inlineStr">
        <is>
          <t>Île-de-France</t>
        </is>
      </c>
      <c r="D963" t="inlineStr">
        <is>
          <t>auto</t>
        </is>
      </c>
      <c r="E963" t="inlineStr">
        <is>
          <t>LLD</t>
        </is>
      </c>
      <c r="F963" t="inlineStr">
        <is>
          <t>2025-02-01</t>
        </is>
      </c>
      <c r="G963" s="4" t="n">
        <v>14742.17</v>
      </c>
      <c r="H963" s="4">
        <f>MAX(0,G963-SUMIFS('Paiements contrat'!$B:$B,'Paiements contrat'!$A:$A,A963))</f>
        <v/>
      </c>
      <c r="I963" s="4" t="n">
        <v>11431.88</v>
      </c>
      <c r="J963" t="inlineStr">
        <is>
          <t>actif</t>
        </is>
      </c>
    </row>
    <row r="964">
      <c r="A964" t="inlineStr">
        <is>
          <t>CTR-00984</t>
        </is>
      </c>
      <c r="B964" t="inlineStr">
        <is>
          <t>CLI-01369</t>
        </is>
      </c>
      <c r="C964" t="inlineStr">
        <is>
          <t>Île-de-France</t>
        </is>
      </c>
      <c r="D964" t="inlineStr">
        <is>
          <t>auto</t>
        </is>
      </c>
      <c r="E964" t="inlineStr">
        <is>
          <t>LOA</t>
        </is>
      </c>
      <c r="F964" t="inlineStr">
        <is>
          <t>2026-02-19</t>
        </is>
      </c>
      <c r="G964" s="4" t="n">
        <v>8457.790000000001</v>
      </c>
      <c r="H964" s="4">
        <f>MAX(0,G964-SUMIFS('Paiements contrat'!$B:$B,'Paiements contrat'!$A:$A,A964))</f>
        <v/>
      </c>
      <c r="I964" s="4" t="n">
        <v>8117.030000000001</v>
      </c>
      <c r="J964" t="inlineStr">
        <is>
          <t>actif</t>
        </is>
      </c>
    </row>
    <row r="965">
      <c r="A965" t="inlineStr">
        <is>
          <t>CTR-00985</t>
        </is>
      </c>
      <c r="B965" t="inlineStr">
        <is>
          <t>CLI-00157</t>
        </is>
      </c>
      <c r="C965" t="inlineStr">
        <is>
          <t>Île-de-France</t>
        </is>
      </c>
      <c r="D965" t="inlineStr">
        <is>
          <t>bateau</t>
        </is>
      </c>
      <c r="E965" t="inlineStr">
        <is>
          <t>LOA</t>
        </is>
      </c>
      <c r="F965" t="inlineStr">
        <is>
          <t>2025-07-18</t>
        </is>
      </c>
      <c r="G965" s="4" t="n">
        <v>250374.96</v>
      </c>
      <c r="H965" s="4">
        <f>MAX(0,G965-SUMIFS('Paiements contrat'!$B:$B,'Paiements contrat'!$A:$A,A965))</f>
        <v/>
      </c>
      <c r="I965" s="4" t="n">
        <v>200639.4103382482</v>
      </c>
      <c r="J965" t="inlineStr">
        <is>
          <t>actif</t>
        </is>
      </c>
    </row>
    <row r="966">
      <c r="A966" t="inlineStr">
        <is>
          <t>CTR-00986</t>
        </is>
      </c>
      <c r="B966" t="inlineStr">
        <is>
          <t>CLI-01454</t>
        </is>
      </c>
      <c r="C966" t="inlineStr">
        <is>
          <t>Guyane</t>
        </is>
      </c>
      <c r="D966" t="inlineStr">
        <is>
          <t>auto</t>
        </is>
      </c>
      <c r="E966" t="inlineStr">
        <is>
          <t>LOA</t>
        </is>
      </c>
      <c r="F966" t="inlineStr">
        <is>
          <t>2024-06-22</t>
        </is>
      </c>
      <c r="G966" s="4" t="n">
        <v>21656.34</v>
      </c>
      <c r="H966" s="4">
        <f>MAX(0,G966-SUMIFS('Paiements contrat'!$B:$B,'Paiements contrat'!$A:$A,A966))</f>
        <v/>
      </c>
      <c r="I966" s="4" t="n">
        <v>13948.43377489194</v>
      </c>
      <c r="J966" t="inlineStr">
        <is>
          <t>actif</t>
        </is>
      </c>
    </row>
    <row r="967">
      <c r="A967" t="inlineStr">
        <is>
          <t>CTR-00987</t>
        </is>
      </c>
      <c r="B967" t="inlineStr">
        <is>
          <t>CLI-00001</t>
        </is>
      </c>
      <c r="C967" t="inlineStr">
        <is>
          <t>Île-de-France</t>
        </is>
      </c>
      <c r="D967" t="inlineStr">
        <is>
          <t>materiel</t>
        </is>
      </c>
      <c r="E967" t="inlineStr">
        <is>
          <t>crédit-bail</t>
        </is>
      </c>
      <c r="F967" t="inlineStr">
        <is>
          <t>2026-03-27</t>
        </is>
      </c>
      <c r="G967" s="4" t="n">
        <v>166292.93</v>
      </c>
      <c r="H967" s="4">
        <f>MAX(0,G967-SUMIFS('Paiements contrat'!$B:$B,'Paiements contrat'!$A:$A,A967))</f>
        <v/>
      </c>
      <c r="I967" s="4" t="n">
        <v>166292.93</v>
      </c>
      <c r="J967" t="inlineStr">
        <is>
          <t>actif</t>
        </is>
      </c>
    </row>
    <row r="968">
      <c r="A968" t="inlineStr">
        <is>
          <t>CTR-00988</t>
        </is>
      </c>
      <c r="B968" t="inlineStr">
        <is>
          <t>CLI-00649</t>
        </is>
      </c>
      <c r="C968" t="inlineStr">
        <is>
          <t>Île-de-France</t>
        </is>
      </c>
      <c r="D968" t="inlineStr">
        <is>
          <t>auto</t>
        </is>
      </c>
      <c r="E968" t="inlineStr">
        <is>
          <t>LOA</t>
        </is>
      </c>
      <c r="F968" t="inlineStr">
        <is>
          <t>2026-01-16</t>
        </is>
      </c>
      <c r="G968" s="4" t="n">
        <v>49468.61</v>
      </c>
      <c r="H968" s="4">
        <f>MAX(0,G968-SUMIFS('Paiements contrat'!$B:$B,'Paiements contrat'!$A:$A,A968))</f>
        <v/>
      </c>
      <c r="I968" s="4" t="n">
        <v>47555.13</v>
      </c>
      <c r="J968" t="inlineStr">
        <is>
          <t>actif</t>
        </is>
      </c>
    </row>
    <row r="969">
      <c r="A969" t="inlineStr">
        <is>
          <t>CTR-00989</t>
        </is>
      </c>
      <c r="B969" t="inlineStr">
        <is>
          <t>CLI-00374</t>
        </is>
      </c>
      <c r="C969" t="inlineStr">
        <is>
          <t>Île-de-France</t>
        </is>
      </c>
      <c r="D969" t="inlineStr">
        <is>
          <t>materiel</t>
        </is>
      </c>
      <c r="E969" t="inlineStr">
        <is>
          <t>crédit-bail</t>
        </is>
      </c>
      <c r="F969" t="inlineStr">
        <is>
          <t>2025-07-24</t>
        </is>
      </c>
      <c r="G969" s="4" t="n">
        <v>167175.34</v>
      </c>
      <c r="H969" s="4">
        <f>MAX(0,G969-SUMIFS('Paiements contrat'!$B:$B,'Paiements contrat'!$A:$A,A969))</f>
        <v/>
      </c>
      <c r="I969" s="4" t="n">
        <v>114680.44</v>
      </c>
      <c r="J969" t="inlineStr">
        <is>
          <t>actif</t>
        </is>
      </c>
    </row>
    <row r="970">
      <c r="A970" t="inlineStr">
        <is>
          <t>CTR-00990</t>
        </is>
      </c>
      <c r="B970" t="inlineStr">
        <is>
          <t>CLI-00754</t>
        </is>
      </c>
      <c r="C970" t="inlineStr">
        <is>
          <t>Île-de-France</t>
        </is>
      </c>
      <c r="D970" t="inlineStr">
        <is>
          <t>auto</t>
        </is>
      </c>
      <c r="E970" t="inlineStr">
        <is>
          <t>LOA</t>
        </is>
      </c>
      <c r="F970" t="inlineStr">
        <is>
          <t>2024-12-07</t>
        </is>
      </c>
      <c r="G970" s="4" t="n">
        <v>10405.54</v>
      </c>
      <c r="H970" s="4">
        <f>MAX(0,G970-SUMIFS('Paiements contrat'!$B:$B,'Paiements contrat'!$A:$A,A970))</f>
        <v/>
      </c>
      <c r="I970" s="4" t="n">
        <v>1.818989403545856e-12</v>
      </c>
      <c r="J970" t="inlineStr">
        <is>
          <t>soldé</t>
        </is>
      </c>
    </row>
    <row r="971">
      <c r="A971" t="inlineStr">
        <is>
          <t>CTR-00991</t>
        </is>
      </c>
      <c r="B971" t="inlineStr">
        <is>
          <t>CLI-01439</t>
        </is>
      </c>
      <c r="C971" t="inlineStr">
        <is>
          <t>Réunion</t>
        </is>
      </c>
      <c r="D971" t="inlineStr">
        <is>
          <t>materiel</t>
        </is>
      </c>
      <c r="E971" t="inlineStr">
        <is>
          <t>crédit-bail</t>
        </is>
      </c>
      <c r="F971" t="inlineStr">
        <is>
          <t>2024-10-04</t>
        </is>
      </c>
      <c r="G971" s="4" t="n">
        <v>37920.25</v>
      </c>
      <c r="H971" s="4">
        <f>MAX(0,G971-SUMIFS('Paiements contrat'!$B:$B,'Paiements contrat'!$A:$A,A971))</f>
        <v/>
      </c>
      <c r="I971" s="4" t="n">
        <v>22358.02</v>
      </c>
      <c r="J971" t="inlineStr">
        <is>
          <t>actif</t>
        </is>
      </c>
    </row>
    <row r="972">
      <c r="A972" t="inlineStr">
        <is>
          <t>CTR-00992</t>
        </is>
      </c>
      <c r="B972" t="inlineStr">
        <is>
          <t>CLI-00123</t>
        </is>
      </c>
      <c r="C972" t="inlineStr">
        <is>
          <t>Île-de-France</t>
        </is>
      </c>
      <c r="D972" t="inlineStr">
        <is>
          <t>materiel</t>
        </is>
      </c>
      <c r="E972" t="inlineStr">
        <is>
          <t>crédit-bail</t>
        </is>
      </c>
      <c r="F972" t="inlineStr">
        <is>
          <t>2026-01-06</t>
        </is>
      </c>
      <c r="G972" s="4" t="n">
        <v>118874.8</v>
      </c>
      <c r="H972" s="4">
        <f>MAX(0,G972-SUMIFS('Paiements contrat'!$B:$B,'Paiements contrat'!$A:$A,A972))</f>
        <v/>
      </c>
      <c r="I972" s="4" t="n">
        <v>114386.28</v>
      </c>
      <c r="J972" t="inlineStr">
        <is>
          <t>actif</t>
        </is>
      </c>
    </row>
    <row r="973">
      <c r="A973" t="inlineStr">
        <is>
          <t>CTR-00993</t>
        </is>
      </c>
      <c r="B973" t="inlineStr">
        <is>
          <t>CLI-00080</t>
        </is>
      </c>
      <c r="C973" t="inlineStr">
        <is>
          <t>Île-de-France</t>
        </is>
      </c>
      <c r="D973" t="inlineStr">
        <is>
          <t>materiel</t>
        </is>
      </c>
      <c r="E973" t="inlineStr">
        <is>
          <t>crédit-bail</t>
        </is>
      </c>
      <c r="F973" t="inlineStr">
        <is>
          <t>2024-06-06</t>
        </is>
      </c>
      <c r="G973" s="4" t="n">
        <v>10211.32</v>
      </c>
      <c r="H973" s="4">
        <f>MAX(0,G973-SUMIFS('Paiements contrat'!$B:$B,'Paiements contrat'!$A:$A,A973))</f>
        <v/>
      </c>
      <c r="I973" s="4" t="n">
        <v>7416.54</v>
      </c>
      <c r="J973" t="inlineStr">
        <is>
          <t>actif</t>
        </is>
      </c>
    </row>
    <row r="974">
      <c r="A974" t="inlineStr">
        <is>
          <t>CTR-00994</t>
        </is>
      </c>
      <c r="B974" t="inlineStr">
        <is>
          <t>CLI-00591</t>
        </is>
      </c>
      <c r="C974" t="inlineStr">
        <is>
          <t>Martinique</t>
        </is>
      </c>
      <c r="D974" t="inlineStr">
        <is>
          <t>materiel</t>
        </is>
      </c>
      <c r="E974" t="inlineStr">
        <is>
          <t>crédit-bail</t>
        </is>
      </c>
      <c r="F974" t="inlineStr">
        <is>
          <t>2024-11-06</t>
        </is>
      </c>
      <c r="G974" s="4" t="n">
        <v>154775.96</v>
      </c>
      <c r="H974" s="4">
        <f>MAX(0,G974-SUMIFS('Paiements contrat'!$B:$B,'Paiements contrat'!$A:$A,A974))</f>
        <v/>
      </c>
      <c r="I974" s="4" t="n">
        <v>79912.64999999999</v>
      </c>
      <c r="J974" t="inlineStr">
        <is>
          <t>actif</t>
        </is>
      </c>
    </row>
    <row r="975">
      <c r="A975" t="inlineStr">
        <is>
          <t>CTR-00995</t>
        </is>
      </c>
      <c r="B975" t="inlineStr">
        <is>
          <t>CLI-01043</t>
        </is>
      </c>
      <c r="C975" t="inlineStr">
        <is>
          <t>Île-de-France</t>
        </is>
      </c>
      <c r="D975" t="inlineStr">
        <is>
          <t>auto</t>
        </is>
      </c>
      <c r="E975" t="inlineStr">
        <is>
          <t>LOA</t>
        </is>
      </c>
      <c r="F975" t="inlineStr">
        <is>
          <t>2025-12-18</t>
        </is>
      </c>
      <c r="G975" s="4" t="n">
        <v>40700.63</v>
      </c>
      <c r="H975" s="4">
        <f>MAX(0,G975-SUMIFS('Paiements contrat'!$B:$B,'Paiements contrat'!$A:$A,A975))</f>
        <v/>
      </c>
      <c r="I975" s="4" t="n">
        <v>30801.25</v>
      </c>
      <c r="J975" t="inlineStr">
        <is>
          <t>actif</t>
        </is>
      </c>
    </row>
    <row r="976">
      <c r="A976" t="inlineStr">
        <is>
          <t>CTR-00996</t>
        </is>
      </c>
      <c r="B976" t="inlineStr">
        <is>
          <t>CLI-00593</t>
        </is>
      </c>
      <c r="C976" t="inlineStr">
        <is>
          <t>Île-de-France</t>
        </is>
      </c>
      <c r="D976" t="inlineStr">
        <is>
          <t>materiel</t>
        </is>
      </c>
      <c r="E976" t="inlineStr">
        <is>
          <t>crédit-bail</t>
        </is>
      </c>
      <c r="F976" t="inlineStr">
        <is>
          <t>2024-04-25</t>
        </is>
      </c>
      <c r="G976" s="4" t="n">
        <v>13278.46</v>
      </c>
      <c r="H976" s="4">
        <f>MAX(0,G976-SUMIFS('Paiements contrat'!$B:$B,'Paiements contrat'!$A:$A,A976))</f>
        <v/>
      </c>
      <c r="I976" s="4" t="n">
        <v>1935.106062731735</v>
      </c>
      <c r="J976" t="inlineStr">
        <is>
          <t>actif</t>
        </is>
      </c>
    </row>
    <row r="977">
      <c r="A977" t="inlineStr">
        <is>
          <t>CTR-00997</t>
        </is>
      </c>
      <c r="B977" t="inlineStr">
        <is>
          <t>CLI-01425</t>
        </is>
      </c>
      <c r="C977" t="inlineStr">
        <is>
          <t>Martinique</t>
        </is>
      </c>
      <c r="D977" t="inlineStr">
        <is>
          <t>materiel</t>
        </is>
      </c>
      <c r="E977" t="inlineStr">
        <is>
          <t>crédit-bail</t>
        </is>
      </c>
      <c r="F977" t="inlineStr">
        <is>
          <t>2025-11-05</t>
        </is>
      </c>
      <c r="G977" s="4" t="n">
        <v>140022.64</v>
      </c>
      <c r="H977" s="4">
        <f>MAX(0,G977-SUMIFS('Paiements contrat'!$B:$B,'Paiements contrat'!$A:$A,A977))</f>
        <v/>
      </c>
      <c r="I977" s="4" t="n">
        <v>133654.74</v>
      </c>
      <c r="J977" t="inlineStr">
        <is>
          <t>actif</t>
        </is>
      </c>
    </row>
    <row r="978">
      <c r="A978" t="inlineStr">
        <is>
          <t>CTR-00998</t>
        </is>
      </c>
      <c r="B978" t="inlineStr">
        <is>
          <t>CLI-00443</t>
        </is>
      </c>
      <c r="C978" t="inlineStr">
        <is>
          <t>Île-de-France</t>
        </is>
      </c>
      <c r="D978" t="inlineStr">
        <is>
          <t>auto</t>
        </is>
      </c>
      <c r="E978" t="inlineStr">
        <is>
          <t>LOA</t>
        </is>
      </c>
      <c r="F978" t="inlineStr">
        <is>
          <t>2025-08-02</t>
        </is>
      </c>
      <c r="G978" s="4" t="n">
        <v>39394.24</v>
      </c>
      <c r="H978" s="4">
        <f>MAX(0,G978-SUMIFS('Paiements contrat'!$B:$B,'Paiements contrat'!$A:$A,A978))</f>
        <v/>
      </c>
      <c r="I978" s="4" t="n">
        <v>26468.1</v>
      </c>
      <c r="J978" t="inlineStr">
        <is>
          <t>actif</t>
        </is>
      </c>
    </row>
    <row r="979">
      <c r="A979" t="inlineStr">
        <is>
          <t>CTR-00999</t>
        </is>
      </c>
      <c r="B979" t="inlineStr">
        <is>
          <t>CLI-00907</t>
        </is>
      </c>
      <c r="C979" t="inlineStr">
        <is>
          <t>Martinique</t>
        </is>
      </c>
      <c r="D979" t="inlineStr">
        <is>
          <t>materiel</t>
        </is>
      </c>
      <c r="E979" t="inlineStr">
        <is>
          <t>crédit-bail</t>
        </is>
      </c>
      <c r="F979" t="inlineStr">
        <is>
          <t>2025-08-03</t>
        </is>
      </c>
      <c r="G979" s="4" t="n">
        <v>72915.62</v>
      </c>
      <c r="H979" s="4">
        <f>MAX(0,G979-SUMIFS('Paiements contrat'!$B:$B,'Paiements contrat'!$A:$A,A979))</f>
        <v/>
      </c>
      <c r="I979" s="4" t="n">
        <v>49649.31999999999</v>
      </c>
      <c r="J979" t="inlineStr">
        <is>
          <t>actif</t>
        </is>
      </c>
    </row>
    <row r="980">
      <c r="A980" t="inlineStr">
        <is>
          <t>CTR-01000</t>
        </is>
      </c>
      <c r="B980" t="inlineStr">
        <is>
          <t>CLI-00483</t>
        </is>
      </c>
      <c r="C980" t="inlineStr">
        <is>
          <t>Guadeloupe</t>
        </is>
      </c>
      <c r="D980" t="inlineStr">
        <is>
          <t>auto</t>
        </is>
      </c>
      <c r="E980" t="inlineStr">
        <is>
          <t>LOA</t>
        </is>
      </c>
      <c r="F980" t="inlineStr">
        <is>
          <t>2026-03-21</t>
        </is>
      </c>
      <c r="G980" s="4" t="n">
        <v>53562.66</v>
      </c>
      <c r="H980" s="4">
        <f>MAX(0,G980-SUMIFS('Paiements contrat'!$B:$B,'Paiements contrat'!$A:$A,A980))</f>
        <v/>
      </c>
      <c r="I980" s="4" t="n">
        <v>53562.66</v>
      </c>
      <c r="J980" t="inlineStr">
        <is>
          <t>actif</t>
        </is>
      </c>
    </row>
    <row r="981">
      <c r="A981" t="inlineStr">
        <is>
          <t>CTR-01001</t>
        </is>
      </c>
      <c r="B981" t="inlineStr">
        <is>
          <t>CLI-00953</t>
        </is>
      </c>
      <c r="C981" t="inlineStr">
        <is>
          <t>Guadeloupe</t>
        </is>
      </c>
      <c r="D981" t="inlineStr">
        <is>
          <t>auto</t>
        </is>
      </c>
      <c r="E981" t="inlineStr">
        <is>
          <t>LOA</t>
        </is>
      </c>
      <c r="F981" t="inlineStr">
        <is>
          <t>2025-03-19</t>
        </is>
      </c>
      <c r="G981" s="4" t="n">
        <v>58830.81</v>
      </c>
      <c r="H981" s="4">
        <f>MAX(0,G981-SUMIFS('Paiements contrat'!$B:$B,'Paiements contrat'!$A:$A,A981))</f>
        <v/>
      </c>
      <c r="I981" s="4" t="n">
        <v>20153.88</v>
      </c>
      <c r="J981" t="inlineStr">
        <is>
          <t>actif</t>
        </is>
      </c>
    </row>
    <row r="982">
      <c r="A982" t="inlineStr">
        <is>
          <t>CTR-01002</t>
        </is>
      </c>
      <c r="B982" t="inlineStr">
        <is>
          <t>CLI-00501</t>
        </is>
      </c>
      <c r="C982" t="inlineStr">
        <is>
          <t>Guyane</t>
        </is>
      </c>
      <c r="D982" t="inlineStr">
        <is>
          <t>auto</t>
        </is>
      </c>
      <c r="E982" t="inlineStr">
        <is>
          <t>LLD</t>
        </is>
      </c>
      <c r="F982" t="inlineStr">
        <is>
          <t>2024-06-10</t>
        </is>
      </c>
      <c r="G982" s="4" t="n">
        <v>13412.52</v>
      </c>
      <c r="H982" s="4">
        <f>MAX(0,G982-SUMIFS('Paiements contrat'!$B:$B,'Paiements contrat'!$A:$A,A982))</f>
        <v/>
      </c>
      <c r="I982" s="4" t="n">
        <v>3523.390000000001</v>
      </c>
      <c r="J982" t="inlineStr">
        <is>
          <t>actif</t>
        </is>
      </c>
    </row>
    <row r="983">
      <c r="A983" t="inlineStr">
        <is>
          <t>CTR-01003</t>
        </is>
      </c>
      <c r="B983" t="inlineStr">
        <is>
          <t>CLI-00373</t>
        </is>
      </c>
      <c r="C983" t="inlineStr">
        <is>
          <t>Martinique</t>
        </is>
      </c>
      <c r="D983" t="inlineStr">
        <is>
          <t>materiel</t>
        </is>
      </c>
      <c r="E983" t="inlineStr">
        <is>
          <t>crédit-bail</t>
        </is>
      </c>
      <c r="F983" t="inlineStr">
        <is>
          <t>2025-04-25</t>
        </is>
      </c>
      <c r="G983" s="4" t="n">
        <v>129365.47</v>
      </c>
      <c r="H983" s="4">
        <f>MAX(0,G983-SUMIFS('Paiements contrat'!$B:$B,'Paiements contrat'!$A:$A,A983))</f>
        <v/>
      </c>
      <c r="I983" s="4" t="n">
        <v>104989.24</v>
      </c>
      <c r="J983" t="inlineStr">
        <is>
          <t>contentieux</t>
        </is>
      </c>
    </row>
    <row r="984">
      <c r="A984" t="inlineStr">
        <is>
          <t>CTR-01004</t>
        </is>
      </c>
      <c r="B984" t="inlineStr">
        <is>
          <t>CLI-01388</t>
        </is>
      </c>
      <c r="C984" t="inlineStr">
        <is>
          <t>Île-de-France</t>
        </is>
      </c>
      <c r="D984" t="inlineStr">
        <is>
          <t>auto</t>
        </is>
      </c>
      <c r="E984" t="inlineStr">
        <is>
          <t>LOA</t>
        </is>
      </c>
      <c r="F984" t="inlineStr">
        <is>
          <t>2025-06-03</t>
        </is>
      </c>
      <c r="G984" s="4" t="n">
        <v>48550.28</v>
      </c>
      <c r="H984" s="4">
        <f>MAX(0,G984-SUMIFS('Paiements contrat'!$B:$B,'Paiements contrat'!$A:$A,A984))</f>
        <v/>
      </c>
      <c r="I984" s="4" t="n">
        <v>39870.66</v>
      </c>
      <c r="J984" t="inlineStr">
        <is>
          <t>actif</t>
        </is>
      </c>
    </row>
    <row r="985">
      <c r="A985" t="inlineStr">
        <is>
          <t>CTR-01005</t>
        </is>
      </c>
      <c r="B985" t="inlineStr">
        <is>
          <t>CLI-00934</t>
        </is>
      </c>
      <c r="C985" t="inlineStr">
        <is>
          <t>Île-de-France</t>
        </is>
      </c>
      <c r="D985" t="inlineStr">
        <is>
          <t>auto</t>
        </is>
      </c>
      <c r="E985" t="inlineStr">
        <is>
          <t>LLD</t>
        </is>
      </c>
      <c r="F985" t="inlineStr">
        <is>
          <t>2024-08-14</t>
        </is>
      </c>
      <c r="G985" s="4" t="n">
        <v>18273.84</v>
      </c>
      <c r="H985" s="4">
        <f>MAX(0,G985-SUMIFS('Paiements contrat'!$B:$B,'Paiements contrat'!$A:$A,A985))</f>
        <v/>
      </c>
      <c r="I985" s="4" t="n">
        <v>8450.113821946796</v>
      </c>
      <c r="J985" t="inlineStr">
        <is>
          <t>actif</t>
        </is>
      </c>
    </row>
    <row r="986">
      <c r="A986" t="inlineStr">
        <is>
          <t>CTR-01006</t>
        </is>
      </c>
      <c r="B986" t="inlineStr">
        <is>
          <t>CLI-00217</t>
        </is>
      </c>
      <c r="C986" t="inlineStr">
        <is>
          <t>Martinique</t>
        </is>
      </c>
      <c r="D986" t="inlineStr">
        <is>
          <t>auto</t>
        </is>
      </c>
      <c r="E986" t="inlineStr">
        <is>
          <t>LOA</t>
        </is>
      </c>
      <c r="F986" t="inlineStr">
        <is>
          <t>2024-08-14</t>
        </is>
      </c>
      <c r="G986" s="4" t="n">
        <v>20927.14</v>
      </c>
      <c r="H986" s="4">
        <f>MAX(0,G986-SUMIFS('Paiements contrat'!$B:$B,'Paiements contrat'!$A:$A,A986))</f>
        <v/>
      </c>
      <c r="I986" s="4" t="n">
        <v>9454.809999999999</v>
      </c>
      <c r="J986" t="inlineStr">
        <is>
          <t>actif</t>
        </is>
      </c>
    </row>
    <row r="987">
      <c r="A987" t="inlineStr">
        <is>
          <t>CTR-01007</t>
        </is>
      </c>
      <c r="B987" t="inlineStr">
        <is>
          <t>CLI-00391</t>
        </is>
      </c>
      <c r="C987" t="inlineStr">
        <is>
          <t>Île-de-France</t>
        </is>
      </c>
      <c r="D987" t="inlineStr">
        <is>
          <t>auto</t>
        </is>
      </c>
      <c r="E987" t="inlineStr">
        <is>
          <t>LLD</t>
        </is>
      </c>
      <c r="F987" t="inlineStr">
        <is>
          <t>2025-09-14</t>
        </is>
      </c>
      <c r="G987" s="4" t="n">
        <v>43288.53</v>
      </c>
      <c r="H987" s="4">
        <f>MAX(0,G987-SUMIFS('Paiements contrat'!$B:$B,'Paiements contrat'!$A:$A,A987))</f>
        <v/>
      </c>
      <c r="I987" s="4" t="n">
        <v>38155.42</v>
      </c>
      <c r="J987" t="inlineStr">
        <is>
          <t>actif</t>
        </is>
      </c>
    </row>
    <row r="988">
      <c r="A988" t="inlineStr">
        <is>
          <t>CTR-01008</t>
        </is>
      </c>
      <c r="B988" t="inlineStr">
        <is>
          <t>CLI-00050</t>
        </is>
      </c>
      <c r="C988" t="inlineStr">
        <is>
          <t>Guyane</t>
        </is>
      </c>
      <c r="D988" t="inlineStr">
        <is>
          <t>auto</t>
        </is>
      </c>
      <c r="E988" t="inlineStr">
        <is>
          <t>LOA</t>
        </is>
      </c>
      <c r="F988" t="inlineStr">
        <is>
          <t>2024-04-25</t>
        </is>
      </c>
      <c r="G988" s="4" t="n">
        <v>76100.23</v>
      </c>
      <c r="H988" s="4">
        <f>MAX(0,G988-SUMIFS('Paiements contrat'!$B:$B,'Paiements contrat'!$A:$A,A988))</f>
        <v/>
      </c>
      <c r="I988" s="4" t="n">
        <v>21347.3</v>
      </c>
      <c r="J988" t="inlineStr">
        <is>
          <t>actif</t>
        </is>
      </c>
    </row>
    <row r="989">
      <c r="A989" t="inlineStr">
        <is>
          <t>CTR-01009</t>
        </is>
      </c>
      <c r="B989" t="inlineStr">
        <is>
          <t>CLI-00734</t>
        </is>
      </c>
      <c r="C989" t="inlineStr">
        <is>
          <t>Île-de-France</t>
        </is>
      </c>
      <c r="D989" t="inlineStr">
        <is>
          <t>auto</t>
        </is>
      </c>
      <c r="E989" t="inlineStr">
        <is>
          <t>LOA</t>
        </is>
      </c>
      <c r="F989" t="inlineStr">
        <is>
          <t>2024-08-09</t>
        </is>
      </c>
      <c r="G989" s="4" t="n">
        <v>40238.06</v>
      </c>
      <c r="H989" s="4">
        <f>MAX(0,G989-SUMIFS('Paiements contrat'!$B:$B,'Paiements contrat'!$A:$A,A989))</f>
        <v/>
      </c>
      <c r="I989" s="4" t="n">
        <v>31395.43910800054</v>
      </c>
      <c r="J989" t="inlineStr">
        <is>
          <t>actif</t>
        </is>
      </c>
    </row>
    <row r="990">
      <c r="A990" t="inlineStr">
        <is>
          <t>CTR-01010</t>
        </is>
      </c>
      <c r="B990" t="inlineStr">
        <is>
          <t>CLI-00502</t>
        </is>
      </c>
      <c r="C990" t="inlineStr">
        <is>
          <t>Guadeloupe</t>
        </is>
      </c>
      <c r="D990" t="inlineStr">
        <is>
          <t>auto</t>
        </is>
      </c>
      <c r="E990" t="inlineStr">
        <is>
          <t>LLD</t>
        </is>
      </c>
      <c r="F990" t="inlineStr">
        <is>
          <t>2024-09-13</t>
        </is>
      </c>
      <c r="G990" s="4" t="n">
        <v>15159.26</v>
      </c>
      <c r="H990" s="4">
        <f>MAX(0,G990-SUMIFS('Paiements contrat'!$B:$B,'Paiements contrat'!$A:$A,A990))</f>
        <v/>
      </c>
      <c r="I990" s="4" t="n">
        <v>8337.895656574106</v>
      </c>
      <c r="J990" t="inlineStr">
        <is>
          <t>actif</t>
        </is>
      </c>
    </row>
    <row r="991">
      <c r="A991" t="inlineStr">
        <is>
          <t>CTR-01011</t>
        </is>
      </c>
      <c r="B991" t="inlineStr">
        <is>
          <t>CLI-00906</t>
        </is>
      </c>
      <c r="C991" t="inlineStr">
        <is>
          <t>Île-de-France</t>
        </is>
      </c>
      <c r="D991" t="inlineStr">
        <is>
          <t>auto</t>
        </is>
      </c>
      <c r="E991" t="inlineStr">
        <is>
          <t>LLD</t>
        </is>
      </c>
      <c r="F991" t="inlineStr">
        <is>
          <t>2024-11-04</t>
        </is>
      </c>
      <c r="G991" s="4" t="n">
        <v>37121.55</v>
      </c>
      <c r="H991" s="4">
        <f>MAX(0,G991-SUMIFS('Paiements contrat'!$B:$B,'Paiements contrat'!$A:$A,A991))</f>
        <v/>
      </c>
      <c r="I991" s="4" t="n">
        <v>25268.72</v>
      </c>
      <c r="J991" t="inlineStr">
        <is>
          <t>actif</t>
        </is>
      </c>
    </row>
    <row r="992">
      <c r="A992" t="inlineStr">
        <is>
          <t>CTR-01012</t>
        </is>
      </c>
      <c r="B992" t="inlineStr">
        <is>
          <t>CLI-00786</t>
        </is>
      </c>
      <c r="C992" t="inlineStr">
        <is>
          <t>Île-de-France</t>
        </is>
      </c>
      <c r="D992" t="inlineStr">
        <is>
          <t>auto</t>
        </is>
      </c>
      <c r="E992" t="inlineStr">
        <is>
          <t>LOA</t>
        </is>
      </c>
      <c r="F992" t="inlineStr">
        <is>
          <t>2026-03-01</t>
        </is>
      </c>
      <c r="G992" s="4" t="n">
        <v>50178.42</v>
      </c>
      <c r="H992" s="4">
        <f>MAX(0,G992-SUMIFS('Paiements contrat'!$B:$B,'Paiements contrat'!$A:$A,A992))</f>
        <v/>
      </c>
      <c r="I992" s="4" t="n">
        <v>50178.42</v>
      </c>
      <c r="J992" t="inlineStr">
        <is>
          <t>actif</t>
        </is>
      </c>
    </row>
    <row r="993">
      <c r="A993" t="inlineStr">
        <is>
          <t>CTR-01013</t>
        </is>
      </c>
      <c r="B993" t="inlineStr">
        <is>
          <t>CLI-00378</t>
        </is>
      </c>
      <c r="C993" t="inlineStr">
        <is>
          <t>Réunion</t>
        </is>
      </c>
      <c r="D993" t="inlineStr">
        <is>
          <t>auto</t>
        </is>
      </c>
      <c r="E993" t="inlineStr">
        <is>
          <t>LOA</t>
        </is>
      </c>
      <c r="F993" t="inlineStr">
        <is>
          <t>2024-09-19</t>
        </is>
      </c>
      <c r="G993" s="4" t="n">
        <v>14211.09</v>
      </c>
      <c r="H993" s="4">
        <f>MAX(0,G993-SUMIFS('Paiements contrat'!$B:$B,'Paiements contrat'!$A:$A,A993))</f>
        <v/>
      </c>
      <c r="I993" s="4" t="n">
        <v>9952.82</v>
      </c>
      <c r="J993" t="inlineStr">
        <is>
          <t>actif</t>
        </is>
      </c>
    </row>
    <row r="994">
      <c r="A994" t="inlineStr">
        <is>
          <t>CTR-01014</t>
        </is>
      </c>
      <c r="B994" t="inlineStr">
        <is>
          <t>CLI-00347</t>
        </is>
      </c>
      <c r="C994" t="inlineStr">
        <is>
          <t>Île-de-France</t>
        </is>
      </c>
      <c r="D994" t="inlineStr">
        <is>
          <t>materiel</t>
        </is>
      </c>
      <c r="E994" t="inlineStr">
        <is>
          <t>crédit-bail</t>
        </is>
      </c>
      <c r="F994" t="inlineStr">
        <is>
          <t>2025-10-15</t>
        </is>
      </c>
      <c r="G994" s="4" t="n">
        <v>119491.24</v>
      </c>
      <c r="H994" s="4">
        <f>MAX(0,G994-SUMIFS('Paiements contrat'!$B:$B,'Paiements contrat'!$A:$A,A994))</f>
        <v/>
      </c>
      <c r="I994" s="4" t="n">
        <v>104257.9</v>
      </c>
      <c r="J994" t="inlineStr">
        <is>
          <t>actif</t>
        </is>
      </c>
    </row>
    <row r="995">
      <c r="A995" t="inlineStr">
        <is>
          <t>CTR-01015</t>
        </is>
      </c>
      <c r="B995" t="inlineStr">
        <is>
          <t>CLI-01122</t>
        </is>
      </c>
      <c r="C995" t="inlineStr">
        <is>
          <t>Île-de-France</t>
        </is>
      </c>
      <c r="D995" t="inlineStr">
        <is>
          <t>auto</t>
        </is>
      </c>
      <c r="E995" t="inlineStr">
        <is>
          <t>LLD</t>
        </is>
      </c>
      <c r="F995" t="inlineStr">
        <is>
          <t>2024-05-08</t>
        </is>
      </c>
      <c r="G995" s="4" t="n">
        <v>35337.49</v>
      </c>
      <c r="H995" s="4">
        <f>MAX(0,G995-SUMIFS('Paiements contrat'!$B:$B,'Paiements contrat'!$A:$A,A995))</f>
        <v/>
      </c>
      <c r="I995" s="4" t="n">
        <v>7491.459999999999</v>
      </c>
      <c r="J995" t="inlineStr">
        <is>
          <t>actif</t>
        </is>
      </c>
    </row>
    <row r="996">
      <c r="A996" t="inlineStr">
        <is>
          <t>CTR-01016</t>
        </is>
      </c>
      <c r="B996" t="inlineStr">
        <is>
          <t>CLI-00926</t>
        </is>
      </c>
      <c r="C996" t="inlineStr">
        <is>
          <t>Martinique</t>
        </is>
      </c>
      <c r="D996" t="inlineStr">
        <is>
          <t>materiel</t>
        </is>
      </c>
      <c r="E996" t="inlineStr">
        <is>
          <t>crédit-bail</t>
        </is>
      </c>
      <c r="F996" t="inlineStr">
        <is>
          <t>2025-02-01</t>
        </is>
      </c>
      <c r="G996" s="4" t="n">
        <v>93013.52</v>
      </c>
      <c r="H996" s="4">
        <f>MAX(0,G996-SUMIFS('Paiements contrat'!$B:$B,'Paiements contrat'!$A:$A,A996))</f>
        <v/>
      </c>
      <c r="I996" s="4" t="n">
        <v>64992.30071206112</v>
      </c>
      <c r="J996" t="inlineStr">
        <is>
          <t>actif</t>
        </is>
      </c>
    </row>
    <row r="997">
      <c r="A997" t="inlineStr">
        <is>
          <t>CTR-01017</t>
        </is>
      </c>
      <c r="B997" t="inlineStr">
        <is>
          <t>CLI-00584</t>
        </is>
      </c>
      <c r="C997" t="inlineStr">
        <is>
          <t>Île-de-France</t>
        </is>
      </c>
      <c r="D997" t="inlineStr">
        <is>
          <t>materiel</t>
        </is>
      </c>
      <c r="E997" t="inlineStr">
        <is>
          <t>crédit-bail</t>
        </is>
      </c>
      <c r="F997" t="inlineStr">
        <is>
          <t>2025-05-25</t>
        </is>
      </c>
      <c r="G997" s="4" t="n">
        <v>163354.31</v>
      </c>
      <c r="H997" s="4">
        <f>MAX(0,G997-SUMIFS('Paiements contrat'!$B:$B,'Paiements contrat'!$A:$A,A997))</f>
        <v/>
      </c>
      <c r="I997" s="4" t="n">
        <v>115543.12</v>
      </c>
      <c r="J997" t="inlineStr">
        <is>
          <t>actif</t>
        </is>
      </c>
    </row>
    <row r="998">
      <c r="A998" t="inlineStr">
        <is>
          <t>CTR-01018</t>
        </is>
      </c>
      <c r="B998" t="inlineStr">
        <is>
          <t>CLI-01066</t>
        </is>
      </c>
      <c r="C998" t="inlineStr">
        <is>
          <t>Île-de-France</t>
        </is>
      </c>
      <c r="D998" t="inlineStr">
        <is>
          <t>materiel</t>
        </is>
      </c>
      <c r="E998" t="inlineStr">
        <is>
          <t>crédit-bail</t>
        </is>
      </c>
      <c r="F998" t="inlineStr">
        <is>
          <t>2025-11-15</t>
        </is>
      </c>
      <c r="G998" s="4" t="n">
        <v>11582.11</v>
      </c>
      <c r="H998" s="4">
        <f>MAX(0,G998-SUMIFS('Paiements contrat'!$B:$B,'Paiements contrat'!$A:$A,A998))</f>
        <v/>
      </c>
      <c r="I998" s="4" t="n">
        <v>10717.46</v>
      </c>
      <c r="J998" t="inlineStr">
        <is>
          <t>actif</t>
        </is>
      </c>
    </row>
    <row r="999">
      <c r="A999" t="inlineStr">
        <is>
          <t>CTR-01019</t>
        </is>
      </c>
      <c r="B999" t="inlineStr">
        <is>
          <t>CLI-00178</t>
        </is>
      </c>
      <c r="C999" t="inlineStr">
        <is>
          <t>Guyane</t>
        </is>
      </c>
      <c r="D999" t="inlineStr">
        <is>
          <t>auto</t>
        </is>
      </c>
      <c r="E999" t="inlineStr">
        <is>
          <t>LOA</t>
        </is>
      </c>
      <c r="F999" t="inlineStr">
        <is>
          <t>2024-10-19</t>
        </is>
      </c>
      <c r="G999" s="4" t="n">
        <v>60232.35</v>
      </c>
      <c r="H999" s="4">
        <f>MAX(0,G999-SUMIFS('Paiements contrat'!$B:$B,'Paiements contrat'!$A:$A,A999))</f>
        <v/>
      </c>
      <c r="I999" s="4" t="n">
        <v>36690.50999999999</v>
      </c>
      <c r="J999" t="inlineStr">
        <is>
          <t>actif</t>
        </is>
      </c>
    </row>
    <row r="1000">
      <c r="A1000" t="inlineStr">
        <is>
          <t>CTR-01020</t>
        </is>
      </c>
      <c r="B1000" t="inlineStr">
        <is>
          <t>CLI-01329</t>
        </is>
      </c>
      <c r="C1000" t="inlineStr">
        <is>
          <t>Martinique</t>
        </is>
      </c>
      <c r="D1000" t="inlineStr">
        <is>
          <t>auto</t>
        </is>
      </c>
      <c r="E1000" t="inlineStr">
        <is>
          <t>LOA</t>
        </is>
      </c>
      <c r="F1000" t="inlineStr">
        <is>
          <t>2024-08-26</t>
        </is>
      </c>
      <c r="G1000" s="4" t="n">
        <v>47966.27</v>
      </c>
      <c r="H1000" s="4">
        <f>MAX(0,G1000-SUMIFS('Paiements contrat'!$B:$B,'Paiements contrat'!$A:$A,A1000))</f>
        <v/>
      </c>
      <c r="I1000" s="4" t="n">
        <v>23697.38301068905</v>
      </c>
      <c r="J1000" t="inlineStr">
        <is>
          <t>contentieux</t>
        </is>
      </c>
    </row>
    <row r="1001">
      <c r="A1001" t="inlineStr">
        <is>
          <t>CTR-01021</t>
        </is>
      </c>
      <c r="B1001" t="inlineStr">
        <is>
          <t>CLI-00453</t>
        </is>
      </c>
      <c r="C1001" t="inlineStr">
        <is>
          <t>Réunion</t>
        </is>
      </c>
      <c r="D1001" t="inlineStr">
        <is>
          <t>materiel</t>
        </is>
      </c>
      <c r="E1001" t="inlineStr">
        <is>
          <t>crédit-bail</t>
        </is>
      </c>
      <c r="F1001" t="inlineStr">
        <is>
          <t>2026-01-13</t>
        </is>
      </c>
      <c r="G1001" s="4" t="n">
        <v>111376.89</v>
      </c>
      <c r="H1001" s="4">
        <f>MAX(0,G1001-SUMIFS('Paiements contrat'!$B:$B,'Paiements contrat'!$A:$A,A1001))</f>
        <v/>
      </c>
      <c r="I1001" s="4" t="n">
        <v>93231.64</v>
      </c>
      <c r="J1001" t="inlineStr">
        <is>
          <t>actif</t>
        </is>
      </c>
    </row>
    <row r="1002">
      <c r="A1002" t="inlineStr">
        <is>
          <t>CTR-01022</t>
        </is>
      </c>
      <c r="B1002" t="inlineStr">
        <is>
          <t>CLI-00807</t>
        </is>
      </c>
      <c r="C1002" t="inlineStr">
        <is>
          <t>Île-de-France</t>
        </is>
      </c>
      <c r="D1002" t="inlineStr">
        <is>
          <t>bateau</t>
        </is>
      </c>
      <c r="E1002" t="inlineStr">
        <is>
          <t>LOA</t>
        </is>
      </c>
      <c r="F1002" t="inlineStr">
        <is>
          <t>2025-05-17</t>
        </is>
      </c>
      <c r="G1002" s="4" t="n">
        <v>209993.54</v>
      </c>
      <c r="H1002" s="4">
        <f>MAX(0,G1002-SUMIFS('Paiements contrat'!$B:$B,'Paiements contrat'!$A:$A,A1002))</f>
        <v/>
      </c>
      <c r="I1002" s="4" t="n">
        <v>176577.05</v>
      </c>
      <c r="J1002" t="inlineStr">
        <is>
          <t>actif</t>
        </is>
      </c>
    </row>
    <row r="1003">
      <c r="A1003" t="inlineStr">
        <is>
          <t>CTR-01023</t>
        </is>
      </c>
      <c r="B1003" t="inlineStr">
        <is>
          <t>CLI-01327</t>
        </is>
      </c>
      <c r="C1003" t="inlineStr">
        <is>
          <t>Île-de-France</t>
        </is>
      </c>
      <c r="D1003" t="inlineStr">
        <is>
          <t>auto</t>
        </is>
      </c>
      <c r="E1003" t="inlineStr">
        <is>
          <t>LOA</t>
        </is>
      </c>
      <c r="F1003" t="inlineStr">
        <is>
          <t>2025-03-09</t>
        </is>
      </c>
      <c r="G1003" s="4" t="n">
        <v>46594.27</v>
      </c>
      <c r="H1003" s="4">
        <f>MAX(0,G1003-SUMIFS('Paiements contrat'!$B:$B,'Paiements contrat'!$A:$A,A1003))</f>
        <v/>
      </c>
      <c r="I1003" s="4" t="n">
        <v>31582.47</v>
      </c>
      <c r="J1003" t="inlineStr">
        <is>
          <t>actif</t>
        </is>
      </c>
    </row>
    <row r="1004">
      <c r="A1004" t="inlineStr">
        <is>
          <t>CTR-01024</t>
        </is>
      </c>
      <c r="B1004" t="inlineStr">
        <is>
          <t>CLI-00899</t>
        </is>
      </c>
      <c r="C1004" t="inlineStr">
        <is>
          <t>Île-de-France</t>
        </is>
      </c>
      <c r="D1004" t="inlineStr">
        <is>
          <t>materiel</t>
        </is>
      </c>
      <c r="E1004" t="inlineStr">
        <is>
          <t>crédit-bail</t>
        </is>
      </c>
      <c r="F1004" t="inlineStr">
        <is>
          <t>2025-11-22</t>
        </is>
      </c>
      <c r="G1004" s="4" t="n">
        <v>163184.99</v>
      </c>
      <c r="H1004" s="4">
        <f>MAX(0,G1004-SUMIFS('Paiements contrat'!$B:$B,'Paiements contrat'!$A:$A,A1004))</f>
        <v/>
      </c>
      <c r="I1004" s="4" t="n">
        <v>146662.28</v>
      </c>
      <c r="J1004" t="inlineStr">
        <is>
          <t>actif</t>
        </is>
      </c>
    </row>
    <row r="1005">
      <c r="A1005" t="inlineStr">
        <is>
          <t>CTR-01025</t>
        </is>
      </c>
      <c r="B1005" t="inlineStr">
        <is>
          <t>CLI-00314</t>
        </is>
      </c>
      <c r="C1005" t="inlineStr">
        <is>
          <t>Île-de-France</t>
        </is>
      </c>
      <c r="D1005" t="inlineStr">
        <is>
          <t>bateau</t>
        </is>
      </c>
      <c r="E1005" t="inlineStr">
        <is>
          <t>LOA</t>
        </is>
      </c>
      <c r="F1005" t="inlineStr">
        <is>
          <t>2026-03-07</t>
        </is>
      </c>
      <c r="G1005" s="4" t="n">
        <v>99759.5</v>
      </c>
      <c r="H1005" s="4">
        <f>MAX(0,G1005-SUMIFS('Paiements contrat'!$B:$B,'Paiements contrat'!$A:$A,A1005))</f>
        <v/>
      </c>
      <c r="I1005" s="4" t="n">
        <v>99759.5</v>
      </c>
      <c r="J1005" t="inlineStr">
        <is>
          <t>actif</t>
        </is>
      </c>
    </row>
    <row r="1006">
      <c r="A1006" t="inlineStr">
        <is>
          <t>CTR-01026</t>
        </is>
      </c>
      <c r="B1006" t="inlineStr">
        <is>
          <t>CLI-00924</t>
        </is>
      </c>
      <c r="C1006" t="inlineStr">
        <is>
          <t>Île-de-France</t>
        </is>
      </c>
      <c r="D1006" t="inlineStr">
        <is>
          <t>auto</t>
        </is>
      </c>
      <c r="E1006" t="inlineStr">
        <is>
          <t>LLD</t>
        </is>
      </c>
      <c r="F1006" t="inlineStr">
        <is>
          <t>2024-05-02</t>
        </is>
      </c>
      <c r="G1006" s="4" t="n">
        <v>37540.22</v>
      </c>
      <c r="H1006" s="4">
        <f>MAX(0,G1006-SUMIFS('Paiements contrat'!$B:$B,'Paiements contrat'!$A:$A,A1006))</f>
        <v/>
      </c>
      <c r="I1006" s="4" t="n">
        <v>5984.110635147357</v>
      </c>
      <c r="J1006" t="inlineStr">
        <is>
          <t>soldé</t>
        </is>
      </c>
    </row>
    <row r="1007">
      <c r="A1007" t="inlineStr">
        <is>
          <t>CTR-01027</t>
        </is>
      </c>
      <c r="B1007" t="inlineStr">
        <is>
          <t>CLI-01086</t>
        </is>
      </c>
      <c r="C1007" t="inlineStr">
        <is>
          <t>Guyane</t>
        </is>
      </c>
      <c r="D1007" t="inlineStr">
        <is>
          <t>auto</t>
        </is>
      </c>
      <c r="E1007" t="inlineStr">
        <is>
          <t>LOA</t>
        </is>
      </c>
      <c r="F1007" t="inlineStr">
        <is>
          <t>2026-01-27</t>
        </is>
      </c>
      <c r="G1007" s="4" t="n">
        <v>29780.16</v>
      </c>
      <c r="H1007" s="4">
        <f>MAX(0,G1007-SUMIFS('Paiements contrat'!$B:$B,'Paiements contrat'!$A:$A,A1007))</f>
        <v/>
      </c>
      <c r="I1007" s="4" t="n">
        <v>28652.3</v>
      </c>
      <c r="J1007" t="inlineStr">
        <is>
          <t>actif</t>
        </is>
      </c>
    </row>
    <row r="1008">
      <c r="A1008" t="inlineStr">
        <is>
          <t>CTR-01028</t>
        </is>
      </c>
      <c r="B1008" t="inlineStr">
        <is>
          <t>CLI-00847</t>
        </is>
      </c>
      <c r="C1008" t="inlineStr">
        <is>
          <t>Île-de-France</t>
        </is>
      </c>
      <c r="D1008" t="inlineStr">
        <is>
          <t>auto</t>
        </is>
      </c>
      <c r="E1008" t="inlineStr">
        <is>
          <t>LOA</t>
        </is>
      </c>
      <c r="F1008" t="inlineStr">
        <is>
          <t>2024-07-27</t>
        </is>
      </c>
      <c r="G1008" s="4" t="n">
        <v>30715.77</v>
      </c>
      <c r="H1008" s="4">
        <f>MAX(0,G1008-SUMIFS('Paiements contrat'!$B:$B,'Paiements contrat'!$A:$A,A1008))</f>
        <v/>
      </c>
      <c r="I1008" s="4" t="n">
        <v>13945.49</v>
      </c>
      <c r="J1008" t="inlineStr">
        <is>
          <t>actif</t>
        </is>
      </c>
    </row>
    <row r="1009">
      <c r="A1009" t="inlineStr">
        <is>
          <t>CTR-01029</t>
        </is>
      </c>
      <c r="B1009" t="inlineStr">
        <is>
          <t>CLI-00755</t>
        </is>
      </c>
      <c r="C1009" t="inlineStr">
        <is>
          <t>Île-de-France</t>
        </is>
      </c>
      <c r="D1009" t="inlineStr">
        <is>
          <t>auto</t>
        </is>
      </c>
      <c r="E1009" t="inlineStr">
        <is>
          <t>LOA</t>
        </is>
      </c>
      <c r="F1009" t="inlineStr">
        <is>
          <t>2024-12-21</t>
        </is>
      </c>
      <c r="G1009" s="4" t="n">
        <v>32971.41</v>
      </c>
      <c r="H1009" s="4">
        <f>MAX(0,G1009-SUMIFS('Paiements contrat'!$B:$B,'Paiements contrat'!$A:$A,A1009))</f>
        <v/>
      </c>
      <c r="I1009" s="4" t="n">
        <v>17204.24000000001</v>
      </c>
      <c r="J1009" t="inlineStr">
        <is>
          <t>actif</t>
        </is>
      </c>
    </row>
    <row r="1010">
      <c r="A1010" t="inlineStr">
        <is>
          <t>CTR-01030</t>
        </is>
      </c>
      <c r="B1010" t="inlineStr">
        <is>
          <t>CLI-00073</t>
        </is>
      </c>
      <c r="C1010" t="inlineStr">
        <is>
          <t>Martinique</t>
        </is>
      </c>
      <c r="D1010" t="inlineStr">
        <is>
          <t>auto</t>
        </is>
      </c>
      <c r="E1010" t="inlineStr">
        <is>
          <t>LOA</t>
        </is>
      </c>
      <c r="F1010" t="inlineStr">
        <is>
          <t>2025-10-09</t>
        </is>
      </c>
      <c r="G1010" s="4" t="n">
        <v>39017.46</v>
      </c>
      <c r="H1010" s="4">
        <f>MAX(0,G1010-SUMIFS('Paiements contrat'!$B:$B,'Paiements contrat'!$A:$A,A1010))</f>
        <v/>
      </c>
      <c r="I1010" s="4" t="n">
        <v>36203.5</v>
      </c>
      <c r="J1010" t="inlineStr">
        <is>
          <t>actif</t>
        </is>
      </c>
    </row>
    <row r="1011">
      <c r="A1011" t="inlineStr">
        <is>
          <t>CTR-01031</t>
        </is>
      </c>
      <c r="B1011" t="inlineStr">
        <is>
          <t>CLI-00991</t>
        </is>
      </c>
      <c r="C1011" t="inlineStr">
        <is>
          <t>Île-de-France</t>
        </is>
      </c>
      <c r="D1011" t="inlineStr">
        <is>
          <t>materiel</t>
        </is>
      </c>
      <c r="E1011" t="inlineStr">
        <is>
          <t>crédit-bail</t>
        </is>
      </c>
      <c r="F1011" t="inlineStr">
        <is>
          <t>2024-09-27</t>
        </is>
      </c>
      <c r="G1011" s="4" t="n">
        <v>167211.78</v>
      </c>
      <c r="H1011" s="4">
        <f>MAX(0,G1011-SUMIFS('Paiements contrat'!$B:$B,'Paiements contrat'!$A:$A,A1011))</f>
        <v/>
      </c>
      <c r="I1011" s="4" t="n">
        <v>87952.60408544954</v>
      </c>
      <c r="J1011" t="inlineStr">
        <is>
          <t>actif</t>
        </is>
      </c>
    </row>
    <row r="1012">
      <c r="A1012" t="inlineStr">
        <is>
          <t>CTR-01032</t>
        </is>
      </c>
      <c r="B1012" t="inlineStr">
        <is>
          <t>CLI-01453</t>
        </is>
      </c>
      <c r="C1012" t="inlineStr">
        <is>
          <t>Île-de-France</t>
        </is>
      </c>
      <c r="D1012" t="inlineStr">
        <is>
          <t>auto</t>
        </is>
      </c>
      <c r="E1012" t="inlineStr">
        <is>
          <t>LOA</t>
        </is>
      </c>
      <c r="F1012" t="inlineStr">
        <is>
          <t>2025-02-27</t>
        </is>
      </c>
      <c r="G1012" s="4" t="n">
        <v>12111.53</v>
      </c>
      <c r="H1012" s="4">
        <f>MAX(0,G1012-SUMIFS('Paiements contrat'!$B:$B,'Paiements contrat'!$A:$A,A1012))</f>
        <v/>
      </c>
      <c r="I1012" s="4" t="n">
        <v>8597.780000000001</v>
      </c>
      <c r="J1012" t="inlineStr">
        <is>
          <t>actif</t>
        </is>
      </c>
    </row>
    <row r="1013">
      <c r="A1013" t="inlineStr">
        <is>
          <t>CTR-01033</t>
        </is>
      </c>
      <c r="B1013" t="inlineStr">
        <is>
          <t>CLI-01123</t>
        </is>
      </c>
      <c r="C1013" t="inlineStr">
        <is>
          <t>Île-de-France</t>
        </is>
      </c>
      <c r="D1013" t="inlineStr">
        <is>
          <t>materiel</t>
        </is>
      </c>
      <c r="E1013" t="inlineStr">
        <is>
          <t>crédit-bail</t>
        </is>
      </c>
      <c r="F1013" t="inlineStr">
        <is>
          <t>2024-08-21</t>
        </is>
      </c>
      <c r="G1013" s="4" t="n">
        <v>42646.59</v>
      </c>
      <c r="H1013" s="4">
        <f>MAX(0,G1013-SUMIFS('Paiements contrat'!$B:$B,'Paiements contrat'!$A:$A,A1013))</f>
        <v/>
      </c>
      <c r="I1013" s="4" t="n">
        <v>5995.027400291328</v>
      </c>
      <c r="J1013" t="inlineStr">
        <is>
          <t>soldé</t>
        </is>
      </c>
    </row>
    <row r="1014">
      <c r="A1014" t="inlineStr">
        <is>
          <t>CTR-01034</t>
        </is>
      </c>
      <c r="B1014" t="inlineStr">
        <is>
          <t>CLI-00347</t>
        </is>
      </c>
      <c r="C1014" t="inlineStr">
        <is>
          <t>Île-de-France</t>
        </is>
      </c>
      <c r="D1014" t="inlineStr">
        <is>
          <t>auto</t>
        </is>
      </c>
      <c r="E1014" t="inlineStr">
        <is>
          <t>LOA</t>
        </is>
      </c>
      <c r="F1014" t="inlineStr">
        <is>
          <t>2025-12-22</t>
        </is>
      </c>
      <c r="G1014" s="4" t="n">
        <v>49002.75</v>
      </c>
      <c r="H1014" s="4">
        <f>MAX(0,G1014-SUMIFS('Paiements contrat'!$B:$B,'Paiements contrat'!$A:$A,A1014))</f>
        <v/>
      </c>
      <c r="I1014" s="4" t="n">
        <v>45988.02</v>
      </c>
      <c r="J1014" t="inlineStr">
        <is>
          <t>actif</t>
        </is>
      </c>
    </row>
    <row r="1015">
      <c r="A1015" t="inlineStr">
        <is>
          <t>CTR-01035</t>
        </is>
      </c>
      <c r="B1015" t="inlineStr">
        <is>
          <t>CLI-00022</t>
        </is>
      </c>
      <c r="C1015" t="inlineStr">
        <is>
          <t>Île-de-France</t>
        </is>
      </c>
      <c r="D1015" t="inlineStr">
        <is>
          <t>materiel</t>
        </is>
      </c>
      <c r="E1015" t="inlineStr">
        <is>
          <t>crédit-bail</t>
        </is>
      </c>
      <c r="F1015" t="inlineStr">
        <is>
          <t>2024-11-13</t>
        </is>
      </c>
      <c r="G1015" s="4" t="n">
        <v>147759.75</v>
      </c>
      <c r="H1015" s="4">
        <f>MAX(0,G1015-SUMIFS('Paiements contrat'!$B:$B,'Paiements contrat'!$A:$A,A1015))</f>
        <v/>
      </c>
      <c r="I1015" s="4" t="n">
        <v>88084.45999999999</v>
      </c>
      <c r="J1015" t="inlineStr">
        <is>
          <t>actif</t>
        </is>
      </c>
    </row>
    <row r="1016">
      <c r="A1016" t="inlineStr">
        <is>
          <t>CTR-01036</t>
        </is>
      </c>
      <c r="B1016" t="inlineStr">
        <is>
          <t>CLI-00782</t>
        </is>
      </c>
      <c r="C1016" t="inlineStr">
        <is>
          <t>Île-de-France</t>
        </is>
      </c>
      <c r="D1016" t="inlineStr">
        <is>
          <t>auto</t>
        </is>
      </c>
      <c r="E1016" t="inlineStr">
        <is>
          <t>LLD</t>
        </is>
      </c>
      <c r="F1016" t="inlineStr">
        <is>
          <t>2024-04-01</t>
        </is>
      </c>
      <c r="G1016" s="4" t="n">
        <v>40679.49</v>
      </c>
      <c r="H1016" s="4">
        <f>MAX(0,G1016-SUMIFS('Paiements contrat'!$B:$B,'Paiements contrat'!$A:$A,A1016))</f>
        <v/>
      </c>
      <c r="I1016" s="4" t="n">
        <v>27219.2</v>
      </c>
      <c r="J1016" t="inlineStr">
        <is>
          <t>actif</t>
        </is>
      </c>
    </row>
    <row r="1017">
      <c r="A1017" t="inlineStr">
        <is>
          <t>CTR-01037</t>
        </is>
      </c>
      <c r="B1017" t="inlineStr">
        <is>
          <t>CLI-00407</t>
        </is>
      </c>
      <c r="C1017" t="inlineStr">
        <is>
          <t>Réunion</t>
        </is>
      </c>
      <c r="D1017" t="inlineStr">
        <is>
          <t>auto</t>
        </is>
      </c>
      <c r="E1017" t="inlineStr">
        <is>
          <t>LLD</t>
        </is>
      </c>
      <c r="F1017" t="inlineStr">
        <is>
          <t>2026-03-27</t>
        </is>
      </c>
      <c r="G1017" s="4" t="n">
        <v>45590.77</v>
      </c>
      <c r="H1017" s="4">
        <f>MAX(0,G1017-SUMIFS('Paiements contrat'!$B:$B,'Paiements contrat'!$A:$A,A1017))</f>
        <v/>
      </c>
      <c r="I1017" s="4" t="n">
        <v>45590.77</v>
      </c>
      <c r="J1017" t="inlineStr">
        <is>
          <t>actif</t>
        </is>
      </c>
    </row>
    <row r="1018">
      <c r="A1018" t="inlineStr">
        <is>
          <t>CTR-01038</t>
        </is>
      </c>
      <c r="B1018" t="inlineStr">
        <is>
          <t>CLI-01233</t>
        </is>
      </c>
      <c r="C1018" t="inlineStr">
        <is>
          <t>Guadeloupe</t>
        </is>
      </c>
      <c r="D1018" t="inlineStr">
        <is>
          <t>bateau</t>
        </is>
      </c>
      <c r="E1018" t="inlineStr">
        <is>
          <t>LOA</t>
        </is>
      </c>
      <c r="F1018" t="inlineStr">
        <is>
          <t>2026-03-10</t>
        </is>
      </c>
      <c r="G1018" s="4" t="n">
        <v>69892.09</v>
      </c>
      <c r="H1018" s="4">
        <f>MAX(0,G1018-SUMIFS('Paiements contrat'!$B:$B,'Paiements contrat'!$A:$A,A1018))</f>
        <v/>
      </c>
      <c r="I1018" s="4" t="n">
        <v>69892.09</v>
      </c>
      <c r="J1018" t="inlineStr">
        <is>
          <t>actif</t>
        </is>
      </c>
    </row>
    <row r="1019">
      <c r="A1019" t="inlineStr">
        <is>
          <t>CTR-01039</t>
        </is>
      </c>
      <c r="B1019" t="inlineStr">
        <is>
          <t>CLI-00309</t>
        </is>
      </c>
      <c r="C1019" t="inlineStr">
        <is>
          <t>Guadeloupe</t>
        </is>
      </c>
      <c r="D1019" t="inlineStr">
        <is>
          <t>materiel</t>
        </is>
      </c>
      <c r="E1019" t="inlineStr">
        <is>
          <t>crédit-bail</t>
        </is>
      </c>
      <c r="F1019" t="inlineStr">
        <is>
          <t>2025-10-06</t>
        </is>
      </c>
      <c r="G1019" s="4" t="n">
        <v>13213.41</v>
      </c>
      <c r="H1019" s="4">
        <f>MAX(0,G1019-SUMIFS('Paiements contrat'!$B:$B,'Paiements contrat'!$A:$A,A1019))</f>
        <v/>
      </c>
      <c r="I1019" s="4" t="n">
        <v>10559.07</v>
      </c>
      <c r="J1019" t="inlineStr">
        <is>
          <t>actif</t>
        </is>
      </c>
    </row>
    <row r="1020">
      <c r="A1020" t="inlineStr">
        <is>
          <t>CTR-01040</t>
        </is>
      </c>
      <c r="B1020" t="inlineStr">
        <is>
          <t>CLI-00277</t>
        </is>
      </c>
      <c r="C1020" t="inlineStr">
        <is>
          <t>Île-de-France</t>
        </is>
      </c>
      <c r="D1020" t="inlineStr">
        <is>
          <t>materiel</t>
        </is>
      </c>
      <c r="E1020" t="inlineStr">
        <is>
          <t>crédit-bail</t>
        </is>
      </c>
      <c r="F1020" t="inlineStr">
        <is>
          <t>2025-06-03</t>
        </is>
      </c>
      <c r="G1020" s="4" t="n">
        <v>51733.32</v>
      </c>
      <c r="H1020" s="4">
        <f>MAX(0,G1020-SUMIFS('Paiements contrat'!$B:$B,'Paiements contrat'!$A:$A,A1020))</f>
        <v/>
      </c>
      <c r="I1020" s="4" t="n">
        <v>39345.12</v>
      </c>
      <c r="J1020" t="inlineStr">
        <is>
          <t>actif</t>
        </is>
      </c>
    </row>
    <row r="1021">
      <c r="A1021" t="inlineStr">
        <is>
          <t>CTR-01041</t>
        </is>
      </c>
      <c r="B1021" t="inlineStr">
        <is>
          <t>CLI-00045</t>
        </is>
      </c>
      <c r="C1021" t="inlineStr">
        <is>
          <t>Île-de-France</t>
        </is>
      </c>
      <c r="D1021" t="inlineStr">
        <is>
          <t>auto</t>
        </is>
      </c>
      <c r="E1021" t="inlineStr">
        <is>
          <t>LLD</t>
        </is>
      </c>
      <c r="F1021" t="inlineStr">
        <is>
          <t>2026-03-01</t>
        </is>
      </c>
      <c r="G1021" s="4" t="n">
        <v>55059.34</v>
      </c>
      <c r="H1021" s="4">
        <f>MAX(0,G1021-SUMIFS('Paiements contrat'!$B:$B,'Paiements contrat'!$A:$A,A1021))</f>
        <v/>
      </c>
      <c r="I1021" s="4" t="n">
        <v>55059.34</v>
      </c>
      <c r="J1021" t="inlineStr">
        <is>
          <t>actif</t>
        </is>
      </c>
    </row>
    <row r="1022">
      <c r="A1022" t="inlineStr">
        <is>
          <t>CTR-01042</t>
        </is>
      </c>
      <c r="B1022" t="inlineStr">
        <is>
          <t>CLI-00565</t>
        </is>
      </c>
      <c r="C1022" t="inlineStr">
        <is>
          <t>Île-de-France</t>
        </is>
      </c>
      <c r="D1022" t="inlineStr">
        <is>
          <t>materiel</t>
        </is>
      </c>
      <c r="E1022" t="inlineStr">
        <is>
          <t>crédit-bail</t>
        </is>
      </c>
      <c r="F1022" t="inlineStr">
        <is>
          <t>2025-09-15</t>
        </is>
      </c>
      <c r="G1022" s="4" t="n">
        <v>19388.62</v>
      </c>
      <c r="H1022" s="4">
        <f>MAX(0,G1022-SUMIFS('Paiements contrat'!$B:$B,'Paiements contrat'!$A:$A,A1022))</f>
        <v/>
      </c>
      <c r="I1022" s="4" t="n">
        <v>15491.26</v>
      </c>
      <c r="J1022" t="inlineStr">
        <is>
          <t>actif</t>
        </is>
      </c>
    </row>
    <row r="1023">
      <c r="A1023" t="inlineStr">
        <is>
          <t>CTR-01043</t>
        </is>
      </c>
      <c r="B1023" t="inlineStr">
        <is>
          <t>CLI-01106</t>
        </is>
      </c>
      <c r="C1023" t="inlineStr">
        <is>
          <t>Île-de-France</t>
        </is>
      </c>
      <c r="D1023" t="inlineStr">
        <is>
          <t>materiel</t>
        </is>
      </c>
      <c r="E1023" t="inlineStr">
        <is>
          <t>crédit-bail</t>
        </is>
      </c>
      <c r="F1023" t="inlineStr">
        <is>
          <t>2025-05-20</t>
        </is>
      </c>
      <c r="G1023" s="4" t="n">
        <v>118994.63</v>
      </c>
      <c r="H1023" s="4">
        <f>MAX(0,G1023-SUMIFS('Paiements contrat'!$B:$B,'Paiements contrat'!$A:$A,A1023))</f>
        <v/>
      </c>
      <c r="I1023" s="4" t="n">
        <v>75697.93000000001</v>
      </c>
      <c r="J1023" t="inlineStr">
        <is>
          <t>actif</t>
        </is>
      </c>
    </row>
    <row r="1024">
      <c r="A1024" t="inlineStr">
        <is>
          <t>CTR-01044</t>
        </is>
      </c>
      <c r="B1024" t="inlineStr">
        <is>
          <t>CLI-00093</t>
        </is>
      </c>
      <c r="C1024" t="inlineStr">
        <is>
          <t>Réunion</t>
        </is>
      </c>
      <c r="D1024" t="inlineStr">
        <is>
          <t>materiel</t>
        </is>
      </c>
      <c r="E1024" t="inlineStr">
        <is>
          <t>crédit-bail</t>
        </is>
      </c>
      <c r="F1024" t="inlineStr">
        <is>
          <t>2024-07-15</t>
        </is>
      </c>
      <c r="G1024" s="4" t="n">
        <v>148117.9</v>
      </c>
      <c r="H1024" s="4">
        <f>MAX(0,G1024-SUMIFS('Paiements contrat'!$B:$B,'Paiements contrat'!$A:$A,A1024))</f>
        <v/>
      </c>
      <c r="I1024" s="4" t="n">
        <v>37658.48999999999</v>
      </c>
      <c r="J1024" t="inlineStr">
        <is>
          <t>actif</t>
        </is>
      </c>
    </row>
    <row r="1025">
      <c r="A1025" t="inlineStr">
        <is>
          <t>CTR-01045</t>
        </is>
      </c>
      <c r="B1025" t="inlineStr">
        <is>
          <t>CLI-00353</t>
        </is>
      </c>
      <c r="C1025" t="inlineStr">
        <is>
          <t>Île-de-France</t>
        </is>
      </c>
      <c r="D1025" t="inlineStr">
        <is>
          <t>auto</t>
        </is>
      </c>
      <c r="E1025" t="inlineStr">
        <is>
          <t>LOA</t>
        </is>
      </c>
      <c r="F1025" t="inlineStr">
        <is>
          <t>2025-11-15</t>
        </is>
      </c>
      <c r="G1025" s="4" t="n">
        <v>60500.02</v>
      </c>
      <c r="H1025" s="4">
        <f>MAX(0,G1025-SUMIFS('Paiements contrat'!$B:$B,'Paiements contrat'!$A:$A,A1025))</f>
        <v/>
      </c>
      <c r="I1025" s="4" t="n">
        <v>55962.53</v>
      </c>
      <c r="J1025" t="inlineStr">
        <is>
          <t>actif</t>
        </is>
      </c>
    </row>
    <row r="1026">
      <c r="A1026" t="inlineStr">
        <is>
          <t>CTR-01046</t>
        </is>
      </c>
      <c r="B1026" t="inlineStr">
        <is>
          <t>CLI-00880</t>
        </is>
      </c>
      <c r="C1026" t="inlineStr">
        <is>
          <t>Réunion</t>
        </is>
      </c>
      <c r="D1026" t="inlineStr">
        <is>
          <t>auto</t>
        </is>
      </c>
      <c r="E1026" t="inlineStr">
        <is>
          <t>LOA</t>
        </is>
      </c>
      <c r="F1026" t="inlineStr">
        <is>
          <t>2025-11-26</t>
        </is>
      </c>
      <c r="G1026" s="4" t="n">
        <v>37569.3</v>
      </c>
      <c r="H1026" s="4">
        <f>MAX(0,G1026-SUMIFS('Paiements contrat'!$B:$B,'Paiements contrat'!$A:$A,A1026))</f>
        <v/>
      </c>
      <c r="I1026" s="4" t="n">
        <v>31487.98</v>
      </c>
      <c r="J1026" t="inlineStr">
        <is>
          <t>actif</t>
        </is>
      </c>
    </row>
    <row r="1027">
      <c r="A1027" t="inlineStr">
        <is>
          <t>CTR-01047</t>
        </is>
      </c>
      <c r="B1027" t="inlineStr">
        <is>
          <t>CLI-01191</t>
        </is>
      </c>
      <c r="C1027" t="inlineStr">
        <is>
          <t>Martinique</t>
        </is>
      </c>
      <c r="D1027" t="inlineStr">
        <is>
          <t>auto</t>
        </is>
      </c>
      <c r="E1027" t="inlineStr">
        <is>
          <t>LOA</t>
        </is>
      </c>
      <c r="F1027" t="inlineStr">
        <is>
          <t>2025-01-20</t>
        </is>
      </c>
      <c r="G1027" s="4" t="n">
        <v>28801.86</v>
      </c>
      <c r="H1027" s="4">
        <f>MAX(0,G1027-SUMIFS('Paiements contrat'!$B:$B,'Paiements contrat'!$A:$A,A1027))</f>
        <v/>
      </c>
      <c r="I1027" s="4" t="n">
        <v>21311.99</v>
      </c>
      <c r="J1027" t="inlineStr">
        <is>
          <t>actif</t>
        </is>
      </c>
    </row>
    <row r="1028">
      <c r="A1028" t="inlineStr">
        <is>
          <t>CTR-01048</t>
        </is>
      </c>
      <c r="B1028" t="inlineStr">
        <is>
          <t>CLI-00124</t>
        </is>
      </c>
      <c r="C1028" t="inlineStr">
        <is>
          <t>Île-de-France</t>
        </is>
      </c>
      <c r="D1028" t="inlineStr">
        <is>
          <t>auto</t>
        </is>
      </c>
      <c r="E1028" t="inlineStr">
        <is>
          <t>LOA</t>
        </is>
      </c>
      <c r="F1028" t="inlineStr">
        <is>
          <t>2026-01-21</t>
        </is>
      </c>
      <c r="G1028" s="4" t="n">
        <v>38769.63</v>
      </c>
      <c r="H1028" s="4">
        <f>MAX(0,G1028-SUMIFS('Paiements contrat'!$B:$B,'Paiements contrat'!$A:$A,A1028))</f>
        <v/>
      </c>
      <c r="I1028" s="4" t="n">
        <v>35767.2</v>
      </c>
      <c r="J1028" t="inlineStr">
        <is>
          <t>actif</t>
        </is>
      </c>
    </row>
    <row r="1029">
      <c r="A1029" t="inlineStr">
        <is>
          <t>CTR-01049</t>
        </is>
      </c>
      <c r="B1029" t="inlineStr">
        <is>
          <t>CLI-00026</t>
        </is>
      </c>
      <c r="C1029" t="inlineStr">
        <is>
          <t>Guadeloupe</t>
        </is>
      </c>
      <c r="D1029" t="inlineStr">
        <is>
          <t>auto</t>
        </is>
      </c>
      <c r="E1029" t="inlineStr">
        <is>
          <t>LLD</t>
        </is>
      </c>
      <c r="F1029" t="inlineStr">
        <is>
          <t>2024-11-17</t>
        </is>
      </c>
      <c r="G1029" s="4" t="n">
        <v>13799.2</v>
      </c>
      <c r="H1029" s="4">
        <f>MAX(0,G1029-SUMIFS('Paiements contrat'!$B:$B,'Paiements contrat'!$A:$A,A1029))</f>
        <v/>
      </c>
      <c r="I1029" s="4" t="n">
        <v>7495.620000000001</v>
      </c>
      <c r="J1029" t="inlineStr">
        <is>
          <t>actif</t>
        </is>
      </c>
    </row>
    <row r="1030">
      <c r="A1030" t="inlineStr">
        <is>
          <t>CTR-01050</t>
        </is>
      </c>
      <c r="B1030" t="inlineStr">
        <is>
          <t>CLI-00103</t>
        </is>
      </c>
      <c r="C1030" t="inlineStr">
        <is>
          <t>Réunion</t>
        </is>
      </c>
      <c r="D1030" t="inlineStr">
        <is>
          <t>materiel</t>
        </is>
      </c>
      <c r="E1030" t="inlineStr">
        <is>
          <t>crédit-bail</t>
        </is>
      </c>
      <c r="F1030" t="inlineStr">
        <is>
          <t>2026-03-07</t>
        </is>
      </c>
      <c r="G1030" s="4" t="n">
        <v>103009.86</v>
      </c>
      <c r="H1030" s="4">
        <f>MAX(0,G1030-SUMIFS('Paiements contrat'!$B:$B,'Paiements contrat'!$A:$A,A1030))</f>
        <v/>
      </c>
      <c r="I1030" s="4" t="n">
        <v>103009.86</v>
      </c>
      <c r="J1030" t="inlineStr">
        <is>
          <t>actif</t>
        </is>
      </c>
    </row>
    <row r="1031">
      <c r="A1031" t="inlineStr">
        <is>
          <t>CTR-01051</t>
        </is>
      </c>
      <c r="B1031" t="inlineStr">
        <is>
          <t>CLI-00389</t>
        </is>
      </c>
      <c r="C1031" t="inlineStr">
        <is>
          <t>Île-de-France</t>
        </is>
      </c>
      <c r="D1031" t="inlineStr">
        <is>
          <t>auto</t>
        </is>
      </c>
      <c r="E1031" t="inlineStr">
        <is>
          <t>LOA</t>
        </is>
      </c>
      <c r="F1031" t="inlineStr">
        <is>
          <t>2025-12-14</t>
        </is>
      </c>
      <c r="G1031" s="4" t="n">
        <v>53655.83</v>
      </c>
      <c r="H1031" s="4">
        <f>MAX(0,G1031-SUMIFS('Paiements contrat'!$B:$B,'Paiements contrat'!$A:$A,A1031))</f>
        <v/>
      </c>
      <c r="I1031" s="4" t="n">
        <v>50792.08</v>
      </c>
      <c r="J1031" t="inlineStr">
        <is>
          <t>actif</t>
        </is>
      </c>
    </row>
    <row r="1032">
      <c r="A1032" t="inlineStr">
        <is>
          <t>CTR-01052</t>
        </is>
      </c>
      <c r="B1032" t="inlineStr">
        <is>
          <t>CLI-00040</t>
        </is>
      </c>
      <c r="C1032" t="inlineStr">
        <is>
          <t>Guadeloupe</t>
        </is>
      </c>
      <c r="D1032" t="inlineStr">
        <is>
          <t>materiel</t>
        </is>
      </c>
      <c r="E1032" t="inlineStr">
        <is>
          <t>crédit-bail</t>
        </is>
      </c>
      <c r="F1032" t="inlineStr">
        <is>
          <t>2024-08-25</t>
        </is>
      </c>
      <c r="G1032" s="4" t="n">
        <v>62138.4</v>
      </c>
      <c r="H1032" s="4">
        <f>MAX(0,G1032-SUMIFS('Paiements contrat'!$B:$B,'Paiements contrat'!$A:$A,A1032))</f>
        <v/>
      </c>
      <c r="I1032" s="4" t="n">
        <v>21344.53</v>
      </c>
      <c r="J1032" t="inlineStr">
        <is>
          <t>actif</t>
        </is>
      </c>
    </row>
    <row r="1033">
      <c r="A1033" t="inlineStr">
        <is>
          <t>CTR-01053</t>
        </is>
      </c>
      <c r="B1033" t="inlineStr">
        <is>
          <t>CLI-00302</t>
        </is>
      </c>
      <c r="C1033" t="inlineStr">
        <is>
          <t>Île-de-France</t>
        </is>
      </c>
      <c r="D1033" t="inlineStr">
        <is>
          <t>materiel</t>
        </is>
      </c>
      <c r="E1033" t="inlineStr">
        <is>
          <t>crédit-bail</t>
        </is>
      </c>
      <c r="F1033" t="inlineStr">
        <is>
          <t>2025-10-12</t>
        </is>
      </c>
      <c r="G1033" s="4" t="n">
        <v>18318.72</v>
      </c>
      <c r="H1033" s="4">
        <f>MAX(0,G1033-SUMIFS('Paiements contrat'!$B:$B,'Paiements contrat'!$A:$A,A1033))</f>
        <v/>
      </c>
      <c r="I1033" s="4" t="n">
        <v>15981.68</v>
      </c>
      <c r="J1033" t="inlineStr">
        <is>
          <t>actif</t>
        </is>
      </c>
    </row>
    <row r="1034">
      <c r="A1034" t="inlineStr">
        <is>
          <t>CTR-01054</t>
        </is>
      </c>
      <c r="B1034" t="inlineStr">
        <is>
          <t>CLI-00536</t>
        </is>
      </c>
      <c r="C1034" t="inlineStr">
        <is>
          <t>Guadeloupe</t>
        </is>
      </c>
      <c r="D1034" t="inlineStr">
        <is>
          <t>auto</t>
        </is>
      </c>
      <c r="E1034" t="inlineStr">
        <is>
          <t>LOA</t>
        </is>
      </c>
      <c r="F1034" t="inlineStr">
        <is>
          <t>2024-08-18</t>
        </is>
      </c>
      <c r="G1034" s="4" t="n">
        <v>35982.51</v>
      </c>
      <c r="H1034" s="4">
        <f>MAX(0,G1034-SUMIFS('Paiements contrat'!$B:$B,'Paiements contrat'!$A:$A,A1034))</f>
        <v/>
      </c>
      <c r="I1034" s="4" t="n">
        <v>23499.34</v>
      </c>
      <c r="J1034" t="inlineStr">
        <is>
          <t>actif</t>
        </is>
      </c>
    </row>
    <row r="1035">
      <c r="A1035" t="inlineStr">
        <is>
          <t>CTR-01055</t>
        </is>
      </c>
      <c r="B1035" t="inlineStr">
        <is>
          <t>CLI-00188</t>
        </is>
      </c>
      <c r="C1035" t="inlineStr">
        <is>
          <t>Guadeloupe</t>
        </is>
      </c>
      <c r="D1035" t="inlineStr">
        <is>
          <t>auto</t>
        </is>
      </c>
      <c r="E1035" t="inlineStr">
        <is>
          <t>LOA</t>
        </is>
      </c>
      <c r="F1035" t="inlineStr">
        <is>
          <t>2025-04-24</t>
        </is>
      </c>
      <c r="G1035" s="4" t="n">
        <v>67738.35000000001</v>
      </c>
      <c r="H1035" s="4">
        <f>MAX(0,G1035-SUMIFS('Paiements contrat'!$B:$B,'Paiements contrat'!$A:$A,A1035))</f>
        <v/>
      </c>
      <c r="I1035" s="4" t="n">
        <v>37662.7</v>
      </c>
      <c r="J1035" t="inlineStr">
        <is>
          <t>actif</t>
        </is>
      </c>
    </row>
    <row r="1036">
      <c r="A1036" t="inlineStr">
        <is>
          <t>CTR-01056</t>
        </is>
      </c>
      <c r="B1036" t="inlineStr">
        <is>
          <t>CLI-01003</t>
        </is>
      </c>
      <c r="C1036" t="inlineStr">
        <is>
          <t>Réunion</t>
        </is>
      </c>
      <c r="D1036" t="inlineStr">
        <is>
          <t>bateau</t>
        </is>
      </c>
      <c r="E1036" t="inlineStr">
        <is>
          <t>LOA</t>
        </is>
      </c>
      <c r="F1036" t="inlineStr">
        <is>
          <t>2025-03-15</t>
        </is>
      </c>
      <c r="G1036" s="4" t="n">
        <v>215302.43</v>
      </c>
      <c r="H1036" s="4">
        <f>MAX(0,G1036-SUMIFS('Paiements contrat'!$B:$B,'Paiements contrat'!$A:$A,A1036))</f>
        <v/>
      </c>
      <c r="I1036" s="4" t="n">
        <v>120320.54</v>
      </c>
      <c r="J1036" t="inlineStr">
        <is>
          <t>actif</t>
        </is>
      </c>
    </row>
    <row r="1037">
      <c r="A1037" t="inlineStr">
        <is>
          <t>CTR-01057</t>
        </is>
      </c>
      <c r="B1037" t="inlineStr">
        <is>
          <t>CLI-00421</t>
        </is>
      </c>
      <c r="C1037" t="inlineStr">
        <is>
          <t>Île-de-France</t>
        </is>
      </c>
      <c r="D1037" t="inlineStr">
        <is>
          <t>auto</t>
        </is>
      </c>
      <c r="E1037" t="inlineStr">
        <is>
          <t>LLD</t>
        </is>
      </c>
      <c r="F1037" t="inlineStr">
        <is>
          <t>2025-08-01</t>
        </is>
      </c>
      <c r="G1037" s="4" t="n">
        <v>54776.78</v>
      </c>
      <c r="H1037" s="4">
        <f>MAX(0,G1037-SUMIFS('Paiements contrat'!$B:$B,'Paiements contrat'!$A:$A,A1037))</f>
        <v/>
      </c>
      <c r="I1037" s="4" t="n">
        <v>45968.42</v>
      </c>
      <c r="J1037" t="inlineStr">
        <is>
          <t>actif</t>
        </is>
      </c>
    </row>
    <row r="1038">
      <c r="A1038" t="inlineStr">
        <is>
          <t>CTR-01058</t>
        </is>
      </c>
      <c r="B1038" t="inlineStr">
        <is>
          <t>CLI-00924</t>
        </is>
      </c>
      <c r="C1038" t="inlineStr">
        <is>
          <t>Île-de-France</t>
        </is>
      </c>
      <c r="D1038" t="inlineStr">
        <is>
          <t>materiel</t>
        </is>
      </c>
      <c r="E1038" t="inlineStr">
        <is>
          <t>crédit-bail</t>
        </is>
      </c>
      <c r="F1038" t="inlineStr">
        <is>
          <t>2025-07-22</t>
        </is>
      </c>
      <c r="G1038" s="4" t="n">
        <v>10159.85</v>
      </c>
      <c r="H1038" s="4">
        <f>MAX(0,G1038-SUMIFS('Paiements contrat'!$B:$B,'Paiements contrat'!$A:$A,A1038))</f>
        <v/>
      </c>
      <c r="I1038" s="4" t="n">
        <v>8075.14</v>
      </c>
      <c r="J1038" t="inlineStr">
        <is>
          <t>actif</t>
        </is>
      </c>
    </row>
    <row r="1039">
      <c r="A1039" t="inlineStr">
        <is>
          <t>CTR-01059</t>
        </is>
      </c>
      <c r="B1039" t="inlineStr">
        <is>
          <t>CLI-00204</t>
        </is>
      </c>
      <c r="C1039" t="inlineStr">
        <is>
          <t>Île-de-France</t>
        </is>
      </c>
      <c r="D1039" t="inlineStr">
        <is>
          <t>materiel</t>
        </is>
      </c>
      <c r="E1039" t="inlineStr">
        <is>
          <t>crédit-bail</t>
        </is>
      </c>
      <c r="F1039" t="inlineStr">
        <is>
          <t>2025-03-17</t>
        </is>
      </c>
      <c r="G1039" s="4" t="n">
        <v>29053.14</v>
      </c>
      <c r="H1039" s="4">
        <f>MAX(0,G1039-SUMIFS('Paiements contrat'!$B:$B,'Paiements contrat'!$A:$A,A1039))</f>
        <v/>
      </c>
      <c r="I1039" s="4" t="n">
        <v>22363.14</v>
      </c>
      <c r="J1039" t="inlineStr">
        <is>
          <t>contentieux</t>
        </is>
      </c>
    </row>
    <row r="1040">
      <c r="A1040" t="inlineStr">
        <is>
          <t>CTR-01060</t>
        </is>
      </c>
      <c r="B1040" t="inlineStr">
        <is>
          <t>CLI-00918</t>
        </is>
      </c>
      <c r="C1040" t="inlineStr">
        <is>
          <t>Île-de-France</t>
        </is>
      </c>
      <c r="D1040" t="inlineStr">
        <is>
          <t>auto</t>
        </is>
      </c>
      <c r="E1040" t="inlineStr">
        <is>
          <t>LLD</t>
        </is>
      </c>
      <c r="F1040" t="inlineStr">
        <is>
          <t>2024-09-22</t>
        </is>
      </c>
      <c r="G1040" s="4" t="n">
        <v>52875.36</v>
      </c>
      <c r="H1040" s="4">
        <f>MAX(0,G1040-SUMIFS('Paiements contrat'!$B:$B,'Paiements contrat'!$A:$A,A1040))</f>
        <v/>
      </c>
      <c r="I1040" s="4" t="n">
        <v>30812.91114228106</v>
      </c>
      <c r="J1040" t="inlineStr">
        <is>
          <t>actif</t>
        </is>
      </c>
    </row>
    <row r="1041">
      <c r="A1041" t="inlineStr">
        <is>
          <t>CTR-01061</t>
        </is>
      </c>
      <c r="B1041" t="inlineStr">
        <is>
          <t>CLI-00267</t>
        </is>
      </c>
      <c r="C1041" t="inlineStr">
        <is>
          <t>Île-de-France</t>
        </is>
      </c>
      <c r="D1041" t="inlineStr">
        <is>
          <t>materiel</t>
        </is>
      </c>
      <c r="E1041" t="inlineStr">
        <is>
          <t>crédit-bail</t>
        </is>
      </c>
      <c r="F1041" t="inlineStr">
        <is>
          <t>2025-05-18</t>
        </is>
      </c>
      <c r="G1041" s="4" t="n">
        <v>163591.4</v>
      </c>
      <c r="H1041" s="4">
        <f>MAX(0,G1041-SUMIFS('Paiements contrat'!$B:$B,'Paiements contrat'!$A:$A,A1041))</f>
        <v/>
      </c>
      <c r="I1041" s="4" t="n">
        <v>125633.41</v>
      </c>
      <c r="J1041" t="inlineStr">
        <is>
          <t>actif</t>
        </is>
      </c>
    </row>
    <row r="1042">
      <c r="A1042" t="inlineStr">
        <is>
          <t>CTR-01062</t>
        </is>
      </c>
      <c r="B1042" t="inlineStr">
        <is>
          <t>CLI-01033</t>
        </is>
      </c>
      <c r="C1042" t="inlineStr">
        <is>
          <t>Île-de-France</t>
        </is>
      </c>
      <c r="D1042" t="inlineStr">
        <is>
          <t>materiel</t>
        </is>
      </c>
      <c r="E1042" t="inlineStr">
        <is>
          <t>crédit-bail</t>
        </is>
      </c>
      <c r="F1042" t="inlineStr">
        <is>
          <t>2025-01-09</t>
        </is>
      </c>
      <c r="G1042" s="4" t="n">
        <v>122983.21</v>
      </c>
      <c r="H1042" s="4">
        <f>MAX(0,G1042-SUMIFS('Paiements contrat'!$B:$B,'Paiements contrat'!$A:$A,A1042))</f>
        <v/>
      </c>
      <c r="I1042" s="4" t="n">
        <v>97673.11000000002</v>
      </c>
      <c r="J1042" t="inlineStr">
        <is>
          <t>actif</t>
        </is>
      </c>
    </row>
    <row r="1043">
      <c r="A1043" t="inlineStr">
        <is>
          <t>CTR-01063</t>
        </is>
      </c>
      <c r="B1043" t="inlineStr">
        <is>
          <t>CLI-00453</t>
        </is>
      </c>
      <c r="C1043" t="inlineStr">
        <is>
          <t>Réunion</t>
        </is>
      </c>
      <c r="D1043" t="inlineStr">
        <is>
          <t>auto</t>
        </is>
      </c>
      <c r="E1043" t="inlineStr">
        <is>
          <t>LLD</t>
        </is>
      </c>
      <c r="F1043" t="inlineStr">
        <is>
          <t>2025-04-27</t>
        </is>
      </c>
      <c r="G1043" s="4" t="n">
        <v>14448.22</v>
      </c>
      <c r="H1043" s="4">
        <f>MAX(0,G1043-SUMIFS('Paiements contrat'!$B:$B,'Paiements contrat'!$A:$A,A1043))</f>
        <v/>
      </c>
      <c r="I1043" s="4" t="n">
        <v>10626.55</v>
      </c>
      <c r="J1043" t="inlineStr">
        <is>
          <t>actif</t>
        </is>
      </c>
    </row>
    <row r="1044">
      <c r="A1044" t="inlineStr">
        <is>
          <t>CTR-01064</t>
        </is>
      </c>
      <c r="B1044" t="inlineStr">
        <is>
          <t>CLI-00888</t>
        </is>
      </c>
      <c r="C1044" t="inlineStr">
        <is>
          <t>Martinique</t>
        </is>
      </c>
      <c r="D1044" t="inlineStr">
        <is>
          <t>materiel</t>
        </is>
      </c>
      <c r="E1044" t="inlineStr">
        <is>
          <t>crédit-bail</t>
        </is>
      </c>
      <c r="F1044" t="inlineStr">
        <is>
          <t>2024-06-13</t>
        </is>
      </c>
      <c r="G1044" s="4" t="n">
        <v>37959.26</v>
      </c>
      <c r="H1044" s="4">
        <f>MAX(0,G1044-SUMIFS('Paiements contrat'!$B:$B,'Paiements contrat'!$A:$A,A1044))</f>
        <v/>
      </c>
      <c r="I1044" s="4" t="n">
        <v>17561.41</v>
      </c>
      <c r="J1044" t="inlineStr">
        <is>
          <t>actif</t>
        </is>
      </c>
    </row>
    <row r="1045">
      <c r="A1045" t="inlineStr">
        <is>
          <t>CTR-01065</t>
        </is>
      </c>
      <c r="B1045" t="inlineStr">
        <is>
          <t>CLI-00080</t>
        </is>
      </c>
      <c r="C1045" t="inlineStr">
        <is>
          <t>Île-de-France</t>
        </is>
      </c>
      <c r="D1045" t="inlineStr">
        <is>
          <t>auto</t>
        </is>
      </c>
      <c r="E1045" t="inlineStr">
        <is>
          <t>LOA</t>
        </is>
      </c>
      <c r="F1045" t="inlineStr">
        <is>
          <t>2025-07-18</t>
        </is>
      </c>
      <c r="G1045" s="4" t="n">
        <v>60606.99</v>
      </c>
      <c r="H1045" s="4">
        <f>MAX(0,G1045-SUMIFS('Paiements contrat'!$B:$B,'Paiements contrat'!$A:$A,A1045))</f>
        <v/>
      </c>
      <c r="I1045" s="4" t="n">
        <v>45126.46</v>
      </c>
      <c r="J1045" t="inlineStr">
        <is>
          <t>actif</t>
        </is>
      </c>
    </row>
    <row r="1046">
      <c r="A1046" t="inlineStr">
        <is>
          <t>CTR-01066</t>
        </is>
      </c>
      <c r="B1046" t="inlineStr">
        <is>
          <t>CLI-01494</t>
        </is>
      </c>
      <c r="C1046" t="inlineStr">
        <is>
          <t>Île-de-France</t>
        </is>
      </c>
      <c r="D1046" t="inlineStr">
        <is>
          <t>auto</t>
        </is>
      </c>
      <c r="E1046" t="inlineStr">
        <is>
          <t>LOA</t>
        </is>
      </c>
      <c r="F1046" t="inlineStr">
        <is>
          <t>2025-03-27</t>
        </is>
      </c>
      <c r="G1046" s="4" t="n">
        <v>71851.14999999999</v>
      </c>
      <c r="H1046" s="4">
        <f>MAX(0,G1046-SUMIFS('Paiements contrat'!$B:$B,'Paiements contrat'!$A:$A,A1046))</f>
        <v/>
      </c>
      <c r="I1046" s="4" t="n">
        <v>46097.59</v>
      </c>
      <c r="J1046" t="inlineStr">
        <is>
          <t>actif</t>
        </is>
      </c>
    </row>
    <row r="1047">
      <c r="A1047" t="inlineStr">
        <is>
          <t>CTR-01067</t>
        </is>
      </c>
      <c r="B1047" t="inlineStr">
        <is>
          <t>CLI-00545</t>
        </is>
      </c>
      <c r="C1047" t="inlineStr">
        <is>
          <t>Île-de-France</t>
        </is>
      </c>
      <c r="D1047" t="inlineStr">
        <is>
          <t>auto</t>
        </is>
      </c>
      <c r="E1047" t="inlineStr">
        <is>
          <t>LOA</t>
        </is>
      </c>
      <c r="F1047" t="inlineStr">
        <is>
          <t>2025-12-16</t>
        </is>
      </c>
      <c r="G1047" s="4" t="n">
        <v>48797.96</v>
      </c>
      <c r="H1047" s="4">
        <f>MAX(0,G1047-SUMIFS('Paiements contrat'!$B:$B,'Paiements contrat'!$A:$A,A1047))</f>
        <v/>
      </c>
      <c r="I1047" s="4" t="n">
        <v>44311.7</v>
      </c>
      <c r="J1047" t="inlineStr">
        <is>
          <t>actif</t>
        </is>
      </c>
    </row>
    <row r="1048">
      <c r="A1048" t="inlineStr">
        <is>
          <t>CTR-01068</t>
        </is>
      </c>
      <c r="B1048" t="inlineStr">
        <is>
          <t>CLI-00242</t>
        </is>
      </c>
      <c r="C1048" t="inlineStr">
        <is>
          <t>Réunion</t>
        </is>
      </c>
      <c r="D1048" t="inlineStr">
        <is>
          <t>materiel</t>
        </is>
      </c>
      <c r="E1048" t="inlineStr">
        <is>
          <t>crédit-bail</t>
        </is>
      </c>
      <c r="F1048" t="inlineStr">
        <is>
          <t>2024-11-22</t>
        </is>
      </c>
      <c r="G1048" s="4" t="n">
        <v>82727.24000000001</v>
      </c>
      <c r="H1048" s="4">
        <f>MAX(0,G1048-SUMIFS('Paiements contrat'!$B:$B,'Paiements contrat'!$A:$A,A1048))</f>
        <v/>
      </c>
      <c r="I1048" s="4" t="n">
        <v>48455.44</v>
      </c>
      <c r="J1048" t="inlineStr">
        <is>
          <t>actif</t>
        </is>
      </c>
    </row>
    <row r="1049">
      <c r="A1049" t="inlineStr">
        <is>
          <t>CTR-01069</t>
        </is>
      </c>
      <c r="B1049" t="inlineStr">
        <is>
          <t>CLI-00040</t>
        </is>
      </c>
      <c r="C1049" t="inlineStr">
        <is>
          <t>Guadeloupe</t>
        </is>
      </c>
      <c r="D1049" t="inlineStr">
        <is>
          <t>auto</t>
        </is>
      </c>
      <c r="E1049" t="inlineStr">
        <is>
          <t>LOA</t>
        </is>
      </c>
      <c r="F1049" t="inlineStr">
        <is>
          <t>2024-12-22</t>
        </is>
      </c>
      <c r="G1049" s="4" t="n">
        <v>48225.18</v>
      </c>
      <c r="H1049" s="4">
        <f>MAX(0,G1049-SUMIFS('Paiements contrat'!$B:$B,'Paiements contrat'!$A:$A,A1049))</f>
        <v/>
      </c>
      <c r="I1049" s="4" t="n">
        <v>22722.46</v>
      </c>
      <c r="J1049" t="inlineStr">
        <is>
          <t>actif</t>
        </is>
      </c>
    </row>
    <row r="1050">
      <c r="A1050" t="inlineStr">
        <is>
          <t>CTR-01070</t>
        </is>
      </c>
      <c r="B1050" t="inlineStr">
        <is>
          <t>CLI-00121</t>
        </is>
      </c>
      <c r="C1050" t="inlineStr">
        <is>
          <t>Martinique</t>
        </is>
      </c>
      <c r="D1050" t="inlineStr">
        <is>
          <t>materiel</t>
        </is>
      </c>
      <c r="E1050" t="inlineStr">
        <is>
          <t>crédit-bail</t>
        </is>
      </c>
      <c r="F1050" t="inlineStr">
        <is>
          <t>2025-09-27</t>
        </is>
      </c>
      <c r="G1050" s="4" t="n">
        <v>154606.86</v>
      </c>
      <c r="H1050" s="4">
        <f>MAX(0,G1050-SUMIFS('Paiements contrat'!$B:$B,'Paiements contrat'!$A:$A,A1050))</f>
        <v/>
      </c>
      <c r="I1050" s="4" t="n">
        <v>137961.4912448356</v>
      </c>
      <c r="J1050" t="inlineStr">
        <is>
          <t>actif</t>
        </is>
      </c>
    </row>
    <row r="1051">
      <c r="A1051" t="inlineStr">
        <is>
          <t>CTR-01071</t>
        </is>
      </c>
      <c r="B1051" t="inlineStr">
        <is>
          <t>CLI-00671</t>
        </is>
      </c>
      <c r="C1051" t="inlineStr">
        <is>
          <t>Martinique</t>
        </is>
      </c>
      <c r="D1051" t="inlineStr">
        <is>
          <t>materiel</t>
        </is>
      </c>
      <c r="E1051" t="inlineStr">
        <is>
          <t>crédit-bail</t>
        </is>
      </c>
      <c r="F1051" t="inlineStr">
        <is>
          <t>2024-04-22</t>
        </is>
      </c>
      <c r="G1051" s="4" t="n">
        <v>157582.77</v>
      </c>
      <c r="H1051" s="4">
        <f>MAX(0,G1051-SUMIFS('Paiements contrat'!$B:$B,'Paiements contrat'!$A:$A,A1051))</f>
        <v/>
      </c>
      <c r="I1051" s="4" t="n">
        <v>8991.299999999988</v>
      </c>
      <c r="J1051" t="inlineStr">
        <is>
          <t>actif</t>
        </is>
      </c>
    </row>
    <row r="1052">
      <c r="A1052" t="inlineStr">
        <is>
          <t>CTR-01072</t>
        </is>
      </c>
      <c r="B1052" t="inlineStr">
        <is>
          <t>CLI-00651</t>
        </is>
      </c>
      <c r="C1052" t="inlineStr">
        <is>
          <t>Île-de-France</t>
        </is>
      </c>
      <c r="D1052" t="inlineStr">
        <is>
          <t>materiel</t>
        </is>
      </c>
      <c r="E1052" t="inlineStr">
        <is>
          <t>crédit-bail</t>
        </is>
      </c>
      <c r="F1052" t="inlineStr">
        <is>
          <t>2025-10-18</t>
        </is>
      </c>
      <c r="G1052" s="4" t="n">
        <v>43076.07</v>
      </c>
      <c r="H1052" s="4">
        <f>MAX(0,G1052-SUMIFS('Paiements contrat'!$B:$B,'Paiements contrat'!$A:$A,A1052))</f>
        <v/>
      </c>
      <c r="I1052" s="4" t="n">
        <v>39158.85</v>
      </c>
      <c r="J1052" t="inlineStr">
        <is>
          <t>actif</t>
        </is>
      </c>
    </row>
    <row r="1053">
      <c r="A1053" t="inlineStr">
        <is>
          <t>CTR-01073</t>
        </is>
      </c>
      <c r="B1053" t="inlineStr">
        <is>
          <t>CLI-01303</t>
        </is>
      </c>
      <c r="C1053" t="inlineStr">
        <is>
          <t>Réunion</t>
        </is>
      </c>
      <c r="D1053" t="inlineStr">
        <is>
          <t>auto</t>
        </is>
      </c>
      <c r="E1053" t="inlineStr">
        <is>
          <t>LOA</t>
        </is>
      </c>
      <c r="F1053" t="inlineStr">
        <is>
          <t>2026-02-15</t>
        </is>
      </c>
      <c r="G1053" s="4" t="n">
        <v>57544.43</v>
      </c>
      <c r="H1053" s="4">
        <f>MAX(0,G1053-SUMIFS('Paiements contrat'!$B:$B,'Paiements contrat'!$A:$A,A1053))</f>
        <v/>
      </c>
      <c r="I1053" s="4" t="n">
        <v>55257.16</v>
      </c>
      <c r="J1053" t="inlineStr">
        <is>
          <t>actif</t>
        </is>
      </c>
    </row>
    <row r="1054">
      <c r="A1054" t="inlineStr">
        <is>
          <t>CTR-01074</t>
        </is>
      </c>
      <c r="B1054" t="inlineStr">
        <is>
          <t>CLI-01214</t>
        </is>
      </c>
      <c r="C1054" t="inlineStr">
        <is>
          <t>Île-de-France</t>
        </is>
      </c>
      <c r="D1054" t="inlineStr">
        <is>
          <t>materiel</t>
        </is>
      </c>
      <c r="E1054" t="inlineStr">
        <is>
          <t>crédit-bail</t>
        </is>
      </c>
      <c r="F1054" t="inlineStr">
        <is>
          <t>2026-01-05</t>
        </is>
      </c>
      <c r="G1054" s="4" t="n">
        <v>80010.55</v>
      </c>
      <c r="H1054" s="4">
        <f>MAX(0,G1054-SUMIFS('Paiements contrat'!$B:$B,'Paiements contrat'!$A:$A,A1054))</f>
        <v/>
      </c>
      <c r="I1054" s="4" t="n">
        <v>76095.99000000001</v>
      </c>
      <c r="J1054" t="inlineStr">
        <is>
          <t>actif</t>
        </is>
      </c>
    </row>
    <row r="1055">
      <c r="A1055" t="inlineStr">
        <is>
          <t>CTR-01075</t>
        </is>
      </c>
      <c r="B1055" t="inlineStr">
        <is>
          <t>CLI-00343</t>
        </is>
      </c>
      <c r="C1055" t="inlineStr">
        <is>
          <t>Île-de-France</t>
        </is>
      </c>
      <c r="D1055" t="inlineStr">
        <is>
          <t>materiel</t>
        </is>
      </c>
      <c r="E1055" t="inlineStr">
        <is>
          <t>crédit-bail</t>
        </is>
      </c>
      <c r="F1055" t="inlineStr">
        <is>
          <t>2026-03-14</t>
        </is>
      </c>
      <c r="G1055" s="4" t="n">
        <v>65380.89</v>
      </c>
      <c r="H1055" s="4">
        <f>MAX(0,G1055-SUMIFS('Paiements contrat'!$B:$B,'Paiements contrat'!$A:$A,A1055))</f>
        <v/>
      </c>
      <c r="I1055" s="4" t="n">
        <v>65380.89</v>
      </c>
      <c r="J1055" t="inlineStr">
        <is>
          <t>actif</t>
        </is>
      </c>
    </row>
    <row r="1056">
      <c r="A1056" t="inlineStr">
        <is>
          <t>CTR-01076</t>
        </is>
      </c>
      <c r="B1056" t="inlineStr">
        <is>
          <t>CLI-00230</t>
        </is>
      </c>
      <c r="C1056" t="inlineStr">
        <is>
          <t>Guadeloupe</t>
        </is>
      </c>
      <c r="D1056" t="inlineStr">
        <is>
          <t>bateau</t>
        </is>
      </c>
      <c r="E1056" t="inlineStr">
        <is>
          <t>LOA</t>
        </is>
      </c>
      <c r="F1056" t="inlineStr">
        <is>
          <t>2025-06-21</t>
        </is>
      </c>
      <c r="G1056" s="4" t="n">
        <v>138697.95</v>
      </c>
      <c r="H1056" s="4">
        <f>MAX(0,G1056-SUMIFS('Paiements contrat'!$B:$B,'Paiements contrat'!$A:$A,A1056))</f>
        <v/>
      </c>
      <c r="I1056" s="4" t="n">
        <v>99856.06000000001</v>
      </c>
      <c r="J1056" t="inlineStr">
        <is>
          <t>actif</t>
        </is>
      </c>
    </row>
    <row r="1057">
      <c r="A1057" t="inlineStr">
        <is>
          <t>CTR-01077</t>
        </is>
      </c>
      <c r="B1057" t="inlineStr">
        <is>
          <t>CLI-01370</t>
        </is>
      </c>
      <c r="C1057" t="inlineStr">
        <is>
          <t>Île-de-France</t>
        </is>
      </c>
      <c r="D1057" t="inlineStr">
        <is>
          <t>materiel</t>
        </is>
      </c>
      <c r="E1057" t="inlineStr">
        <is>
          <t>crédit-bail</t>
        </is>
      </c>
      <c r="F1057" t="inlineStr">
        <is>
          <t>2024-05-25</t>
        </is>
      </c>
      <c r="G1057" s="4" t="n">
        <v>155109.35</v>
      </c>
      <c r="H1057" s="4">
        <f>MAX(0,G1057-SUMIFS('Paiements contrat'!$B:$B,'Paiements contrat'!$A:$A,A1057))</f>
        <v/>
      </c>
      <c r="I1057" s="4" t="n">
        <v>39337.49839619521</v>
      </c>
      <c r="J1057" t="inlineStr">
        <is>
          <t>actif</t>
        </is>
      </c>
    </row>
    <row r="1058">
      <c r="A1058" t="inlineStr">
        <is>
          <t>CTR-01078</t>
        </is>
      </c>
      <c r="B1058" t="inlineStr">
        <is>
          <t>CLI-01155</t>
        </is>
      </c>
      <c r="C1058" t="inlineStr">
        <is>
          <t>Réunion</t>
        </is>
      </c>
      <c r="D1058" t="inlineStr">
        <is>
          <t>materiel</t>
        </is>
      </c>
      <c r="E1058" t="inlineStr">
        <is>
          <t>crédit-bail</t>
        </is>
      </c>
      <c r="F1058" t="inlineStr">
        <is>
          <t>2025-06-27</t>
        </is>
      </c>
      <c r="G1058" s="4" t="n">
        <v>77371.35000000001</v>
      </c>
      <c r="H1058" s="4">
        <f>MAX(0,G1058-SUMIFS('Paiements contrat'!$B:$B,'Paiements contrat'!$A:$A,A1058))</f>
        <v/>
      </c>
      <c r="I1058" s="4" t="n">
        <v>39123.77</v>
      </c>
      <c r="J1058" t="inlineStr">
        <is>
          <t>actif</t>
        </is>
      </c>
    </row>
    <row r="1059">
      <c r="A1059" t="inlineStr">
        <is>
          <t>CTR-01079</t>
        </is>
      </c>
      <c r="B1059" t="inlineStr">
        <is>
          <t>CLI-00604</t>
        </is>
      </c>
      <c r="C1059" t="inlineStr">
        <is>
          <t>Île-de-France</t>
        </is>
      </c>
      <c r="D1059" t="inlineStr">
        <is>
          <t>auto</t>
        </is>
      </c>
      <c r="E1059" t="inlineStr">
        <is>
          <t>LOA</t>
        </is>
      </c>
      <c r="F1059" t="inlineStr">
        <is>
          <t>2025-04-13</t>
        </is>
      </c>
      <c r="G1059" s="4" t="n">
        <v>17358.49</v>
      </c>
      <c r="H1059" s="4">
        <f>MAX(0,G1059-SUMIFS('Paiements contrat'!$B:$B,'Paiements contrat'!$A:$A,A1059))</f>
        <v/>
      </c>
      <c r="I1059" s="4" t="n">
        <v>8862.080000000002</v>
      </c>
      <c r="J1059" t="inlineStr">
        <is>
          <t>contentieux</t>
        </is>
      </c>
    </row>
    <row r="1060">
      <c r="A1060" t="inlineStr">
        <is>
          <t>CTR-01080</t>
        </is>
      </c>
      <c r="B1060" t="inlineStr">
        <is>
          <t>CLI-00414</t>
        </is>
      </c>
      <c r="C1060" t="inlineStr">
        <is>
          <t>Île-de-France</t>
        </is>
      </c>
      <c r="D1060" t="inlineStr">
        <is>
          <t>auto</t>
        </is>
      </c>
      <c r="E1060" t="inlineStr">
        <is>
          <t>LOA</t>
        </is>
      </c>
      <c r="F1060" t="inlineStr">
        <is>
          <t>2025-02-17</t>
        </is>
      </c>
      <c r="G1060" s="4" t="n">
        <v>39289.11</v>
      </c>
      <c r="H1060" s="4">
        <f>MAX(0,G1060-SUMIFS('Paiements contrat'!$B:$B,'Paiements contrat'!$A:$A,A1060))</f>
        <v/>
      </c>
      <c r="I1060" s="4" t="n">
        <v>31890.94</v>
      </c>
      <c r="J1060" t="inlineStr">
        <is>
          <t>actif</t>
        </is>
      </c>
    </row>
    <row r="1061">
      <c r="A1061" t="inlineStr">
        <is>
          <t>CTR-01081</t>
        </is>
      </c>
      <c r="B1061" t="inlineStr">
        <is>
          <t>CLI-00798</t>
        </is>
      </c>
      <c r="C1061" t="inlineStr">
        <is>
          <t>Île-de-France</t>
        </is>
      </c>
      <c r="D1061" t="inlineStr">
        <is>
          <t>auto</t>
        </is>
      </c>
      <c r="E1061" t="inlineStr">
        <is>
          <t>LOA</t>
        </is>
      </c>
      <c r="F1061" t="inlineStr">
        <is>
          <t>2025-06-17</t>
        </is>
      </c>
      <c r="G1061" s="4" t="n">
        <v>63754.74</v>
      </c>
      <c r="H1061" s="4">
        <f>MAX(0,G1061-SUMIFS('Paiements contrat'!$B:$B,'Paiements contrat'!$A:$A,A1061))</f>
        <v/>
      </c>
      <c r="I1061" s="4" t="n">
        <v>43477.03999999999</v>
      </c>
      <c r="J1061" t="inlineStr">
        <is>
          <t>actif</t>
        </is>
      </c>
    </row>
    <row r="1062">
      <c r="A1062" t="inlineStr">
        <is>
          <t>CTR-01082</t>
        </is>
      </c>
      <c r="B1062" t="inlineStr">
        <is>
          <t>CLI-00266</t>
        </is>
      </c>
      <c r="C1062" t="inlineStr">
        <is>
          <t>Île-de-France</t>
        </is>
      </c>
      <c r="D1062" t="inlineStr">
        <is>
          <t>materiel</t>
        </is>
      </c>
      <c r="E1062" t="inlineStr">
        <is>
          <t>crédit-bail</t>
        </is>
      </c>
      <c r="F1062" t="inlineStr">
        <is>
          <t>2025-08-17</t>
        </is>
      </c>
      <c r="G1062" s="4" t="n">
        <v>68860.53999999999</v>
      </c>
      <c r="H1062" s="4">
        <f>MAX(0,G1062-SUMIFS('Paiements contrat'!$B:$B,'Paiements contrat'!$A:$A,A1062))</f>
        <v/>
      </c>
      <c r="I1062" s="4" t="n">
        <v>49433.24999999999</v>
      </c>
      <c r="J1062" t="inlineStr">
        <is>
          <t>actif</t>
        </is>
      </c>
    </row>
    <row r="1063">
      <c r="A1063" t="inlineStr">
        <is>
          <t>CTR-01083</t>
        </is>
      </c>
      <c r="B1063" t="inlineStr">
        <is>
          <t>CLI-00690</t>
        </is>
      </c>
      <c r="C1063" t="inlineStr">
        <is>
          <t>Guadeloupe</t>
        </is>
      </c>
      <c r="D1063" t="inlineStr">
        <is>
          <t>materiel</t>
        </is>
      </c>
      <c r="E1063" t="inlineStr">
        <is>
          <t>crédit-bail</t>
        </is>
      </c>
      <c r="F1063" t="inlineStr">
        <is>
          <t>2024-11-20</t>
        </is>
      </c>
      <c r="G1063" s="4" t="n">
        <v>37817.53</v>
      </c>
      <c r="H1063" s="4">
        <f>MAX(0,G1063-SUMIFS('Paiements contrat'!$B:$B,'Paiements contrat'!$A:$A,A1063))</f>
        <v/>
      </c>
      <c r="I1063" s="4" t="n">
        <v>30305.17</v>
      </c>
      <c r="J1063" t="inlineStr">
        <is>
          <t>contentieux</t>
        </is>
      </c>
    </row>
    <row r="1064">
      <c r="A1064" t="inlineStr">
        <is>
          <t>CTR-01084</t>
        </is>
      </c>
      <c r="B1064" t="inlineStr">
        <is>
          <t>CLI-01325</t>
        </is>
      </c>
      <c r="C1064" t="inlineStr">
        <is>
          <t>Île-de-France</t>
        </is>
      </c>
      <c r="D1064" t="inlineStr">
        <is>
          <t>materiel</t>
        </is>
      </c>
      <c r="E1064" t="inlineStr">
        <is>
          <t>crédit-bail</t>
        </is>
      </c>
      <c r="F1064" t="inlineStr">
        <is>
          <t>2025-09-11</t>
        </is>
      </c>
      <c r="G1064" s="4" t="n">
        <v>83102.03</v>
      </c>
      <c r="H1064" s="4">
        <f>MAX(0,G1064-SUMIFS('Paiements contrat'!$B:$B,'Paiements contrat'!$A:$A,A1064))</f>
        <v/>
      </c>
      <c r="I1064" s="4" t="n">
        <v>69557.14999999999</v>
      </c>
      <c r="J1064" t="inlineStr">
        <is>
          <t>actif</t>
        </is>
      </c>
    </row>
    <row r="1065">
      <c r="A1065" t="inlineStr">
        <is>
          <t>CTR-01085</t>
        </is>
      </c>
      <c r="B1065" t="inlineStr">
        <is>
          <t>CLI-01163</t>
        </is>
      </c>
      <c r="C1065" t="inlineStr">
        <is>
          <t>Martinique</t>
        </is>
      </c>
      <c r="D1065" t="inlineStr">
        <is>
          <t>bateau</t>
        </is>
      </c>
      <c r="E1065" t="inlineStr">
        <is>
          <t>LOA</t>
        </is>
      </c>
      <c r="F1065" t="inlineStr">
        <is>
          <t>2024-09-03</t>
        </is>
      </c>
      <c r="G1065" s="4" t="n">
        <v>141617</v>
      </c>
      <c r="H1065" s="4">
        <f>MAX(0,G1065-SUMIFS('Paiements contrat'!$B:$B,'Paiements contrat'!$A:$A,A1065))</f>
        <v/>
      </c>
      <c r="I1065" s="4" t="n">
        <v>81176</v>
      </c>
      <c r="J1065" t="inlineStr">
        <is>
          <t>actif</t>
        </is>
      </c>
    </row>
    <row r="1066">
      <c r="A1066" t="inlineStr">
        <is>
          <t>CTR-01086</t>
        </is>
      </c>
      <c r="B1066" t="inlineStr">
        <is>
          <t>CLI-01190</t>
        </is>
      </c>
      <c r="C1066" t="inlineStr">
        <is>
          <t>Guyane</t>
        </is>
      </c>
      <c r="D1066" t="inlineStr">
        <is>
          <t>materiel</t>
        </is>
      </c>
      <c r="E1066" t="inlineStr">
        <is>
          <t>crédit-bail</t>
        </is>
      </c>
      <c r="F1066" t="inlineStr">
        <is>
          <t>2024-12-22</t>
        </is>
      </c>
      <c r="G1066" s="4" t="n">
        <v>67243.69</v>
      </c>
      <c r="H1066" s="4">
        <f>MAX(0,G1066-SUMIFS('Paiements contrat'!$B:$B,'Paiements contrat'!$A:$A,A1066))</f>
        <v/>
      </c>
      <c r="I1066" s="4" t="n">
        <v>53498.57348684336</v>
      </c>
      <c r="J1066" t="inlineStr">
        <is>
          <t>actif</t>
        </is>
      </c>
    </row>
    <row r="1067">
      <c r="A1067" t="inlineStr">
        <is>
          <t>CTR-01088</t>
        </is>
      </c>
      <c r="B1067" t="inlineStr">
        <is>
          <t>CLI-00028</t>
        </is>
      </c>
      <c r="C1067" t="inlineStr">
        <is>
          <t>Guadeloupe</t>
        </is>
      </c>
      <c r="D1067" t="inlineStr">
        <is>
          <t>materiel</t>
        </is>
      </c>
      <c r="E1067" t="inlineStr">
        <is>
          <t>crédit-bail</t>
        </is>
      </c>
      <c r="F1067" t="inlineStr">
        <is>
          <t>2025-04-17</t>
        </is>
      </c>
      <c r="G1067" s="4" t="n">
        <v>29844.12</v>
      </c>
      <c r="H1067" s="4">
        <f>MAX(0,G1067-SUMIFS('Paiements contrat'!$B:$B,'Paiements contrat'!$A:$A,A1067))</f>
        <v/>
      </c>
      <c r="I1067" s="4" t="n">
        <v>22345.5956976142</v>
      </c>
      <c r="J1067" t="inlineStr">
        <is>
          <t>actif</t>
        </is>
      </c>
    </row>
    <row r="1068">
      <c r="A1068" t="inlineStr">
        <is>
          <t>CTR-01089</t>
        </is>
      </c>
      <c r="B1068" t="inlineStr">
        <is>
          <t>CLI-00283</t>
        </is>
      </c>
      <c r="C1068" t="inlineStr">
        <is>
          <t>Île-de-France</t>
        </is>
      </c>
      <c r="D1068" t="inlineStr">
        <is>
          <t>materiel</t>
        </is>
      </c>
      <c r="E1068" t="inlineStr">
        <is>
          <t>crédit-bail</t>
        </is>
      </c>
      <c r="F1068" t="inlineStr">
        <is>
          <t>2026-02-24</t>
        </is>
      </c>
      <c r="G1068" s="4" t="n">
        <v>47560.53</v>
      </c>
      <c r="H1068" s="4">
        <f>MAX(0,G1068-SUMIFS('Paiements contrat'!$B:$B,'Paiements contrat'!$A:$A,A1068))</f>
        <v/>
      </c>
      <c r="I1068" s="4" t="n">
        <v>46905.45</v>
      </c>
      <c r="J1068" t="inlineStr">
        <is>
          <t>actif</t>
        </is>
      </c>
    </row>
    <row r="1069">
      <c r="A1069" t="inlineStr">
        <is>
          <t>CTR-01090</t>
        </is>
      </c>
      <c r="B1069" t="inlineStr">
        <is>
          <t>CLI-00193</t>
        </is>
      </c>
      <c r="C1069" t="inlineStr">
        <is>
          <t>Île-de-France</t>
        </is>
      </c>
      <c r="D1069" t="inlineStr">
        <is>
          <t>auto</t>
        </is>
      </c>
      <c r="E1069" t="inlineStr">
        <is>
          <t>LOA</t>
        </is>
      </c>
      <c r="F1069" t="inlineStr">
        <is>
          <t>2025-06-12</t>
        </is>
      </c>
      <c r="G1069" s="4" t="n">
        <v>20084.77</v>
      </c>
      <c r="H1069" s="4">
        <f>MAX(0,G1069-SUMIFS('Paiements contrat'!$B:$B,'Paiements contrat'!$A:$A,A1069))</f>
        <v/>
      </c>
      <c r="I1069" s="4" t="n">
        <v>13779.06</v>
      </c>
      <c r="J1069" t="inlineStr">
        <is>
          <t>contentieux</t>
        </is>
      </c>
    </row>
    <row r="1070">
      <c r="A1070" t="inlineStr">
        <is>
          <t>CTR-01091</t>
        </is>
      </c>
      <c r="B1070" t="inlineStr">
        <is>
          <t>CLI-01153</t>
        </is>
      </c>
      <c r="C1070" t="inlineStr">
        <is>
          <t>Île-de-France</t>
        </is>
      </c>
      <c r="D1070" t="inlineStr">
        <is>
          <t>auto</t>
        </is>
      </c>
      <c r="E1070" t="inlineStr">
        <is>
          <t>LOA</t>
        </is>
      </c>
      <c r="F1070" t="inlineStr">
        <is>
          <t>2024-10-08</t>
        </is>
      </c>
      <c r="G1070" s="4" t="n">
        <v>35852.53</v>
      </c>
      <c r="H1070" s="4">
        <f>MAX(0,G1070-SUMIFS('Paiements contrat'!$B:$B,'Paiements contrat'!$A:$A,A1070))</f>
        <v/>
      </c>
      <c r="I1070" s="4" t="n">
        <v>22429.26529365023</v>
      </c>
      <c r="J1070" t="inlineStr">
        <is>
          <t>actif</t>
        </is>
      </c>
    </row>
    <row r="1071">
      <c r="A1071" t="inlineStr">
        <is>
          <t>CTR-01092</t>
        </is>
      </c>
      <c r="B1071" t="inlineStr">
        <is>
          <t>CLI-01141</t>
        </is>
      </c>
      <c r="C1071" t="inlineStr">
        <is>
          <t>Guyane</t>
        </is>
      </c>
      <c r="D1071" t="inlineStr">
        <is>
          <t>auto</t>
        </is>
      </c>
      <c r="E1071" t="inlineStr">
        <is>
          <t>LLD</t>
        </is>
      </c>
      <c r="F1071" t="inlineStr">
        <is>
          <t>2025-04-20</t>
        </is>
      </c>
      <c r="G1071" s="4" t="n">
        <v>47366.08</v>
      </c>
      <c r="H1071" s="4">
        <f>MAX(0,G1071-SUMIFS('Paiements contrat'!$B:$B,'Paiements contrat'!$A:$A,A1071))</f>
        <v/>
      </c>
      <c r="I1071" s="4" t="n">
        <v>36113.75</v>
      </c>
      <c r="J1071" t="inlineStr">
        <is>
          <t>actif</t>
        </is>
      </c>
    </row>
    <row r="1072">
      <c r="A1072" t="inlineStr">
        <is>
          <t>CTR-01093</t>
        </is>
      </c>
      <c r="B1072" t="inlineStr">
        <is>
          <t>CLI-00859</t>
        </is>
      </c>
      <c r="C1072" t="inlineStr">
        <is>
          <t>Guadeloupe</t>
        </is>
      </c>
      <c r="D1072" t="inlineStr">
        <is>
          <t>auto</t>
        </is>
      </c>
      <c r="E1072" t="inlineStr">
        <is>
          <t>LOA</t>
        </is>
      </c>
      <c r="F1072" t="inlineStr">
        <is>
          <t>2024-10-08</t>
        </is>
      </c>
      <c r="G1072" s="4" t="n">
        <v>59896.51</v>
      </c>
      <c r="H1072" s="4">
        <f>MAX(0,G1072-SUMIFS('Paiements contrat'!$B:$B,'Paiements contrat'!$A:$A,A1072))</f>
        <v/>
      </c>
      <c r="I1072" s="4" t="n">
        <v>43746.8</v>
      </c>
      <c r="J1072" t="inlineStr">
        <is>
          <t>actif</t>
        </is>
      </c>
    </row>
    <row r="1073">
      <c r="A1073" t="inlineStr">
        <is>
          <t>CTR-01094</t>
        </is>
      </c>
      <c r="B1073" t="inlineStr">
        <is>
          <t>CLI-01050</t>
        </is>
      </c>
      <c r="C1073" t="inlineStr">
        <is>
          <t>Guyane</t>
        </is>
      </c>
      <c r="D1073" t="inlineStr">
        <is>
          <t>auto</t>
        </is>
      </c>
      <c r="E1073" t="inlineStr">
        <is>
          <t>LOA</t>
        </is>
      </c>
      <c r="F1073" t="inlineStr">
        <is>
          <t>2024-12-20</t>
        </is>
      </c>
      <c r="G1073" s="4" t="n">
        <v>11461.04</v>
      </c>
      <c r="H1073" s="4">
        <f>MAX(0,G1073-SUMIFS('Paiements contrat'!$B:$B,'Paiements contrat'!$A:$A,A1073))</f>
        <v/>
      </c>
      <c r="I1073" s="4" t="n">
        <v>7183.180000000001</v>
      </c>
      <c r="J1073" t="inlineStr">
        <is>
          <t>actif</t>
        </is>
      </c>
    </row>
    <row r="1074">
      <c r="A1074" t="inlineStr">
        <is>
          <t>CTR-01095</t>
        </is>
      </c>
      <c r="B1074" t="inlineStr">
        <is>
          <t>CLI-00879</t>
        </is>
      </c>
      <c r="C1074" t="inlineStr">
        <is>
          <t>Martinique</t>
        </is>
      </c>
      <c r="D1074" t="inlineStr">
        <is>
          <t>materiel</t>
        </is>
      </c>
      <c r="E1074" t="inlineStr">
        <is>
          <t>crédit-bail</t>
        </is>
      </c>
      <c r="F1074" t="inlineStr">
        <is>
          <t>2025-09-18</t>
        </is>
      </c>
      <c r="G1074" s="4" t="n">
        <v>128836.9</v>
      </c>
      <c r="H1074" s="4">
        <f>MAX(0,G1074-SUMIFS('Paiements contrat'!$B:$B,'Paiements contrat'!$A:$A,A1074))</f>
        <v/>
      </c>
      <c r="I1074" s="4" t="n">
        <v>104236.78</v>
      </c>
      <c r="J1074" t="inlineStr">
        <is>
          <t>actif</t>
        </is>
      </c>
    </row>
    <row r="1075">
      <c r="A1075" t="inlineStr">
        <is>
          <t>CTR-01097</t>
        </is>
      </c>
      <c r="B1075" t="inlineStr">
        <is>
          <t>CLI-01022</t>
        </is>
      </c>
      <c r="C1075" t="inlineStr">
        <is>
          <t>Martinique</t>
        </is>
      </c>
      <c r="D1075" t="inlineStr">
        <is>
          <t>auto</t>
        </is>
      </c>
      <c r="E1075" t="inlineStr">
        <is>
          <t>LOA</t>
        </is>
      </c>
      <c r="F1075" t="inlineStr">
        <is>
          <t>2024-10-02</t>
        </is>
      </c>
      <c r="G1075" s="4" t="n">
        <v>57527.37</v>
      </c>
      <c r="H1075" s="4">
        <f>MAX(0,G1075-SUMIFS('Paiements contrat'!$B:$B,'Paiements contrat'!$A:$A,A1075))</f>
        <v/>
      </c>
      <c r="I1075" s="4" t="n">
        <v>41114.66</v>
      </c>
      <c r="J1075" t="inlineStr">
        <is>
          <t>actif</t>
        </is>
      </c>
    </row>
    <row r="1076">
      <c r="A1076" t="inlineStr">
        <is>
          <t>CTR-01098</t>
        </is>
      </c>
      <c r="B1076" t="inlineStr">
        <is>
          <t>CLI-00287</t>
        </is>
      </c>
      <c r="C1076" t="inlineStr">
        <is>
          <t>Île-de-France</t>
        </is>
      </c>
      <c r="D1076" t="inlineStr">
        <is>
          <t>materiel</t>
        </is>
      </c>
      <c r="E1076" t="inlineStr">
        <is>
          <t>crédit-bail</t>
        </is>
      </c>
      <c r="F1076" t="inlineStr">
        <is>
          <t>2025-11-21</t>
        </is>
      </c>
      <c r="G1076" s="4" t="n">
        <v>127796.05</v>
      </c>
      <c r="H1076" s="4">
        <f>MAX(0,G1076-SUMIFS('Paiements contrat'!$B:$B,'Paiements contrat'!$A:$A,A1076))</f>
        <v/>
      </c>
      <c r="I1076" s="4" t="n">
        <v>122825.4077495815</v>
      </c>
      <c r="J1076" t="inlineStr">
        <is>
          <t>actif</t>
        </is>
      </c>
    </row>
    <row r="1077">
      <c r="A1077" t="inlineStr">
        <is>
          <t>CTR-01099</t>
        </is>
      </c>
      <c r="B1077" t="inlineStr">
        <is>
          <t>CLI-00819</t>
        </is>
      </c>
      <c r="C1077" t="inlineStr">
        <is>
          <t>Île-de-France</t>
        </is>
      </c>
      <c r="D1077" t="inlineStr">
        <is>
          <t>auto</t>
        </is>
      </c>
      <c r="E1077" t="inlineStr">
        <is>
          <t>LOA</t>
        </is>
      </c>
      <c r="F1077" t="inlineStr">
        <is>
          <t>2025-07-26</t>
        </is>
      </c>
      <c r="G1077" s="4" t="n">
        <v>55985.49</v>
      </c>
      <c r="H1077" s="4">
        <f>MAX(0,G1077-SUMIFS('Paiements contrat'!$B:$B,'Paiements contrat'!$A:$A,A1077))</f>
        <v/>
      </c>
      <c r="I1077" s="4" t="n">
        <v>37817.12</v>
      </c>
      <c r="J1077" t="inlineStr">
        <is>
          <t>actif</t>
        </is>
      </c>
    </row>
    <row r="1078">
      <c r="A1078" t="inlineStr">
        <is>
          <t>CTR-01100</t>
        </is>
      </c>
      <c r="B1078" t="inlineStr">
        <is>
          <t>CLI-00146</t>
        </is>
      </c>
      <c r="C1078" t="inlineStr">
        <is>
          <t>Martinique</t>
        </is>
      </c>
      <c r="D1078" t="inlineStr">
        <is>
          <t>materiel</t>
        </is>
      </c>
      <c r="E1078" t="inlineStr">
        <is>
          <t>crédit-bail</t>
        </is>
      </c>
      <c r="F1078" t="inlineStr">
        <is>
          <t>2025-08-20</t>
        </is>
      </c>
      <c r="G1078" s="4" t="n">
        <v>94806.34</v>
      </c>
      <c r="H1078" s="4">
        <f>MAX(0,G1078-SUMIFS('Paiements contrat'!$B:$B,'Paiements contrat'!$A:$A,A1078))</f>
        <v/>
      </c>
      <c r="I1078" s="4" t="n">
        <v>82111.19</v>
      </c>
      <c r="J1078" t="inlineStr">
        <is>
          <t>actif</t>
        </is>
      </c>
    </row>
    <row r="1079">
      <c r="A1079" t="inlineStr">
        <is>
          <t>CTR-01101</t>
        </is>
      </c>
      <c r="B1079" t="inlineStr">
        <is>
          <t>CLI-00112</t>
        </is>
      </c>
      <c r="C1079" t="inlineStr">
        <is>
          <t>Île-de-France</t>
        </is>
      </c>
      <c r="D1079" t="inlineStr">
        <is>
          <t>auto</t>
        </is>
      </c>
      <c r="E1079" t="inlineStr">
        <is>
          <t>LOA</t>
        </is>
      </c>
      <c r="F1079" t="inlineStr">
        <is>
          <t>2025-07-18</t>
        </is>
      </c>
      <c r="G1079" s="4" t="n">
        <v>60073.53</v>
      </c>
      <c r="H1079" s="4">
        <f>MAX(0,G1079-SUMIFS('Paiements contrat'!$B:$B,'Paiements contrat'!$A:$A,A1079))</f>
        <v/>
      </c>
      <c r="I1079" s="4" t="n">
        <v>49479.36</v>
      </c>
      <c r="J1079" t="inlineStr">
        <is>
          <t>actif</t>
        </is>
      </c>
    </row>
    <row r="1080">
      <c r="A1080" t="inlineStr">
        <is>
          <t>CTR-01102</t>
        </is>
      </c>
      <c r="B1080" t="inlineStr">
        <is>
          <t>CLI-00820</t>
        </is>
      </c>
      <c r="C1080" t="inlineStr">
        <is>
          <t>Guadeloupe</t>
        </is>
      </c>
      <c r="D1080" t="inlineStr">
        <is>
          <t>auto</t>
        </is>
      </c>
      <c r="E1080" t="inlineStr">
        <is>
          <t>LLD</t>
        </is>
      </c>
      <c r="F1080" t="inlineStr">
        <is>
          <t>2026-02-27</t>
        </is>
      </c>
      <c r="G1080" s="4" t="n">
        <v>38712.18</v>
      </c>
      <c r="H1080" s="4">
        <f>MAX(0,G1080-SUMIFS('Paiements contrat'!$B:$B,'Paiements contrat'!$A:$A,A1080))</f>
        <v/>
      </c>
      <c r="I1080" s="4" t="n">
        <v>38712.18</v>
      </c>
      <c r="J1080" t="inlineStr">
        <is>
          <t>actif</t>
        </is>
      </c>
    </row>
    <row r="1081">
      <c r="A1081" t="inlineStr">
        <is>
          <t>CTR-01103</t>
        </is>
      </c>
      <c r="B1081" t="inlineStr">
        <is>
          <t>CLI-00679</t>
        </is>
      </c>
      <c r="C1081" t="inlineStr">
        <is>
          <t>Guadeloupe</t>
        </is>
      </c>
      <c r="D1081" t="inlineStr">
        <is>
          <t>auto</t>
        </is>
      </c>
      <c r="E1081" t="inlineStr">
        <is>
          <t>LOA</t>
        </is>
      </c>
      <c r="F1081" t="inlineStr">
        <is>
          <t>2024-11-10</t>
        </is>
      </c>
      <c r="G1081" s="4" t="n">
        <v>34174.11</v>
      </c>
      <c r="H1081" s="4">
        <f>MAX(0,G1081-SUMIFS('Paiements contrat'!$B:$B,'Paiements contrat'!$A:$A,A1081))</f>
        <v/>
      </c>
      <c r="I1081" s="4" t="n">
        <v>21788.01</v>
      </c>
      <c r="J1081" t="inlineStr">
        <is>
          <t>actif</t>
        </is>
      </c>
    </row>
    <row r="1082">
      <c r="A1082" t="inlineStr">
        <is>
          <t>CTR-01104</t>
        </is>
      </c>
      <c r="B1082" t="inlineStr">
        <is>
          <t>CLI-00208</t>
        </is>
      </c>
      <c r="C1082" t="inlineStr">
        <is>
          <t>Martinique</t>
        </is>
      </c>
      <c r="D1082" t="inlineStr">
        <is>
          <t>auto</t>
        </is>
      </c>
      <c r="E1082" t="inlineStr">
        <is>
          <t>LOA</t>
        </is>
      </c>
      <c r="F1082" t="inlineStr">
        <is>
          <t>2024-10-17</t>
        </is>
      </c>
      <c r="G1082" s="4" t="n">
        <v>78597.49000000001</v>
      </c>
      <c r="H1082" s="4">
        <f>MAX(0,G1082-SUMIFS('Paiements contrat'!$B:$B,'Paiements contrat'!$A:$A,A1082))</f>
        <v/>
      </c>
      <c r="I1082" s="4" t="n">
        <v>27117.81</v>
      </c>
      <c r="J1082" t="inlineStr">
        <is>
          <t>actif</t>
        </is>
      </c>
    </row>
    <row r="1083">
      <c r="A1083" t="inlineStr">
        <is>
          <t>CTR-01105</t>
        </is>
      </c>
      <c r="B1083" t="inlineStr">
        <is>
          <t>CLI-00862</t>
        </is>
      </c>
      <c r="C1083" t="inlineStr">
        <is>
          <t>Île-de-France</t>
        </is>
      </c>
      <c r="D1083" t="inlineStr">
        <is>
          <t>auto</t>
        </is>
      </c>
      <c r="E1083" t="inlineStr">
        <is>
          <t>LOA</t>
        </is>
      </c>
      <c r="F1083" t="inlineStr">
        <is>
          <t>2025-06-02</t>
        </is>
      </c>
      <c r="G1083" s="4" t="n">
        <v>47396.24</v>
      </c>
      <c r="H1083" s="4">
        <f>MAX(0,G1083-SUMIFS('Paiements contrat'!$B:$B,'Paiements contrat'!$A:$A,A1083))</f>
        <v/>
      </c>
      <c r="I1083" s="4" t="n">
        <v>33816.73</v>
      </c>
      <c r="J1083" t="inlineStr">
        <is>
          <t>actif</t>
        </is>
      </c>
    </row>
    <row r="1084">
      <c r="A1084" t="inlineStr">
        <is>
          <t>CTR-01106</t>
        </is>
      </c>
      <c r="B1084" t="inlineStr">
        <is>
          <t>CLI-00596</t>
        </is>
      </c>
      <c r="C1084" t="inlineStr">
        <is>
          <t>Île-de-France</t>
        </is>
      </c>
      <c r="D1084" t="inlineStr">
        <is>
          <t>auto</t>
        </is>
      </c>
      <c r="E1084" t="inlineStr">
        <is>
          <t>LOA</t>
        </is>
      </c>
      <c r="F1084" t="inlineStr">
        <is>
          <t>2025-03-16</t>
        </is>
      </c>
      <c r="G1084" s="4" t="n">
        <v>28214.81</v>
      </c>
      <c r="H1084" s="4">
        <f>MAX(0,G1084-SUMIFS('Paiements contrat'!$B:$B,'Paiements contrat'!$A:$A,A1084))</f>
        <v/>
      </c>
      <c r="I1084" s="4" t="n">
        <v>19349.33551242786</v>
      </c>
      <c r="J1084" t="inlineStr">
        <is>
          <t>actif</t>
        </is>
      </c>
    </row>
    <row r="1085">
      <c r="A1085" t="inlineStr">
        <is>
          <t>CTR-01107</t>
        </is>
      </c>
      <c r="B1085" t="inlineStr">
        <is>
          <t>CLI-01278</t>
        </is>
      </c>
      <c r="C1085" t="inlineStr">
        <is>
          <t>Île-de-France</t>
        </is>
      </c>
      <c r="D1085" t="inlineStr">
        <is>
          <t>materiel</t>
        </is>
      </c>
      <c r="E1085" t="inlineStr">
        <is>
          <t>crédit-bail</t>
        </is>
      </c>
      <c r="F1085" t="inlineStr">
        <is>
          <t>2025-11-19</t>
        </is>
      </c>
      <c r="G1085" s="4" t="n">
        <v>101227.88</v>
      </c>
      <c r="H1085" s="4">
        <f>MAX(0,G1085-SUMIFS('Paiements contrat'!$B:$B,'Paiements contrat'!$A:$A,A1085))</f>
        <v/>
      </c>
      <c r="I1085" s="4" t="n">
        <v>97234.77</v>
      </c>
      <c r="J1085" t="inlineStr">
        <is>
          <t>actif</t>
        </is>
      </c>
    </row>
    <row r="1086">
      <c r="A1086" t="inlineStr">
        <is>
          <t>CTR-01108</t>
        </is>
      </c>
      <c r="B1086" t="inlineStr">
        <is>
          <t>CLI-01095</t>
        </is>
      </c>
      <c r="C1086" t="inlineStr">
        <is>
          <t>Île-de-France</t>
        </is>
      </c>
      <c r="D1086" t="inlineStr">
        <is>
          <t>materiel</t>
        </is>
      </c>
      <c r="E1086" t="inlineStr">
        <is>
          <t>crédit-bail</t>
        </is>
      </c>
      <c r="F1086" t="inlineStr">
        <is>
          <t>2024-09-05</t>
        </is>
      </c>
      <c r="G1086" s="4" t="n">
        <v>141171.84</v>
      </c>
      <c r="H1086" s="4">
        <f>MAX(0,G1086-SUMIFS('Paiements contrat'!$B:$B,'Paiements contrat'!$A:$A,A1086))</f>
        <v/>
      </c>
      <c r="I1086" s="4" t="n">
        <v>80997.5118414965</v>
      </c>
      <c r="J1086" t="inlineStr">
        <is>
          <t>actif</t>
        </is>
      </c>
    </row>
    <row r="1087">
      <c r="A1087" t="inlineStr">
        <is>
          <t>CTR-01109</t>
        </is>
      </c>
      <c r="B1087" t="inlineStr">
        <is>
          <t>CLI-00635</t>
        </is>
      </c>
      <c r="C1087" t="inlineStr">
        <is>
          <t>Île-de-France</t>
        </is>
      </c>
      <c r="D1087" t="inlineStr">
        <is>
          <t>bateau</t>
        </is>
      </c>
      <c r="E1087" t="inlineStr">
        <is>
          <t>LOA</t>
        </is>
      </c>
      <c r="F1087" t="inlineStr">
        <is>
          <t>2025-04-08</t>
        </is>
      </c>
      <c r="G1087" s="4" t="n">
        <v>156346.63</v>
      </c>
      <c r="H1087" s="4">
        <f>MAX(0,G1087-SUMIFS('Paiements contrat'!$B:$B,'Paiements contrat'!$A:$A,A1087))</f>
        <v/>
      </c>
      <c r="I1087" s="4" t="n">
        <v>96226.19015584255</v>
      </c>
      <c r="J1087" t="inlineStr">
        <is>
          <t>actif</t>
        </is>
      </c>
    </row>
    <row r="1088">
      <c r="A1088" t="inlineStr">
        <is>
          <t>CTR-01110</t>
        </is>
      </c>
      <c r="B1088" t="inlineStr">
        <is>
          <t>CLI-00601</t>
        </is>
      </c>
      <c r="C1088" t="inlineStr">
        <is>
          <t>Île-de-France</t>
        </is>
      </c>
      <c r="D1088" t="inlineStr">
        <is>
          <t>materiel</t>
        </is>
      </c>
      <c r="E1088" t="inlineStr">
        <is>
          <t>crédit-bail</t>
        </is>
      </c>
      <c r="F1088" t="inlineStr">
        <is>
          <t>2025-08-09</t>
        </is>
      </c>
      <c r="G1088" s="4" t="n">
        <v>27051.24</v>
      </c>
      <c r="H1088" s="4">
        <f>MAX(0,G1088-SUMIFS('Paiements contrat'!$B:$B,'Paiements contrat'!$A:$A,A1088))</f>
        <v/>
      </c>
      <c r="I1088" s="4" t="n">
        <v>16804.79</v>
      </c>
      <c r="J1088" t="inlineStr">
        <is>
          <t>actif</t>
        </is>
      </c>
    </row>
    <row r="1089">
      <c r="A1089" t="inlineStr">
        <is>
          <t>CTR-01111</t>
        </is>
      </c>
      <c r="B1089" t="inlineStr">
        <is>
          <t>CLI-00831</t>
        </is>
      </c>
      <c r="C1089" t="inlineStr">
        <is>
          <t>Île-de-France</t>
        </is>
      </c>
      <c r="D1089" t="inlineStr">
        <is>
          <t>materiel</t>
        </is>
      </c>
      <c r="E1089" t="inlineStr">
        <is>
          <t>crédit-bail</t>
        </is>
      </c>
      <c r="F1089" t="inlineStr">
        <is>
          <t>2026-02-18</t>
        </is>
      </c>
      <c r="G1089" s="4" t="n">
        <v>33298.32</v>
      </c>
      <c r="H1089" s="4">
        <f>MAX(0,G1089-SUMIFS('Paiements contrat'!$B:$B,'Paiements contrat'!$A:$A,A1089))</f>
        <v/>
      </c>
      <c r="I1089" s="4" t="n">
        <v>32414.78</v>
      </c>
      <c r="J1089" t="inlineStr">
        <is>
          <t>actif</t>
        </is>
      </c>
    </row>
    <row r="1090">
      <c r="A1090" t="inlineStr">
        <is>
          <t>CTR-01112</t>
        </is>
      </c>
      <c r="B1090" t="inlineStr">
        <is>
          <t>CLI-00144</t>
        </is>
      </c>
      <c r="C1090" t="inlineStr">
        <is>
          <t>Île-de-France</t>
        </is>
      </c>
      <c r="D1090" t="inlineStr">
        <is>
          <t>bateau</t>
        </is>
      </c>
      <c r="E1090" t="inlineStr">
        <is>
          <t>LOA</t>
        </is>
      </c>
      <c r="F1090" t="inlineStr">
        <is>
          <t>2024-06-27</t>
        </is>
      </c>
      <c r="G1090" s="4" t="n">
        <v>73018.03999999999</v>
      </c>
      <c r="H1090" s="4">
        <f>MAX(0,G1090-SUMIFS('Paiements contrat'!$B:$B,'Paiements contrat'!$A:$A,A1090))</f>
        <v/>
      </c>
      <c r="I1090" s="4" t="n">
        <v>27288.53912823448</v>
      </c>
      <c r="J1090" t="inlineStr">
        <is>
          <t>actif</t>
        </is>
      </c>
    </row>
    <row r="1091">
      <c r="A1091" t="inlineStr">
        <is>
          <t>CTR-01113</t>
        </is>
      </c>
      <c r="B1091" t="inlineStr">
        <is>
          <t>CLI-00206</t>
        </is>
      </c>
      <c r="C1091" t="inlineStr">
        <is>
          <t>Guadeloupe</t>
        </is>
      </c>
      <c r="D1091" t="inlineStr">
        <is>
          <t>materiel</t>
        </is>
      </c>
      <c r="E1091" t="inlineStr">
        <is>
          <t>crédit-bail</t>
        </is>
      </c>
      <c r="F1091" t="inlineStr">
        <is>
          <t>2025-05-24</t>
        </is>
      </c>
      <c r="G1091" s="4" t="n">
        <v>11472.79</v>
      </c>
      <c r="H1091" s="4">
        <f>MAX(0,G1091-SUMIFS('Paiements contrat'!$B:$B,'Paiements contrat'!$A:$A,A1091))</f>
        <v/>
      </c>
      <c r="I1091" s="4" t="n">
        <v>7377.420000000001</v>
      </c>
      <c r="J1091" t="inlineStr">
        <is>
          <t>actif</t>
        </is>
      </c>
    </row>
    <row r="1092">
      <c r="A1092" t="inlineStr">
        <is>
          <t>CTR-01114</t>
        </is>
      </c>
      <c r="B1092" t="inlineStr">
        <is>
          <t>CLI-01095</t>
        </is>
      </c>
      <c r="C1092" t="inlineStr">
        <is>
          <t>Île-de-France</t>
        </is>
      </c>
      <c r="D1092" t="inlineStr">
        <is>
          <t>auto</t>
        </is>
      </c>
      <c r="E1092" t="inlineStr">
        <is>
          <t>LOA</t>
        </is>
      </c>
      <c r="F1092" t="inlineStr">
        <is>
          <t>2024-06-11</t>
        </is>
      </c>
      <c r="G1092" s="4" t="n">
        <v>34873.15</v>
      </c>
      <c r="H1092" s="4">
        <f>MAX(0,G1092-SUMIFS('Paiements contrat'!$B:$B,'Paiements contrat'!$A:$A,A1092))</f>
        <v/>
      </c>
      <c r="I1092" s="4" t="n">
        <v>18373.37857489677</v>
      </c>
      <c r="J1092" t="inlineStr">
        <is>
          <t>actif</t>
        </is>
      </c>
    </row>
    <row r="1093">
      <c r="A1093" t="inlineStr">
        <is>
          <t>CTR-01115</t>
        </is>
      </c>
      <c r="B1093" t="inlineStr">
        <is>
          <t>CLI-01116</t>
        </is>
      </c>
      <c r="C1093" t="inlineStr">
        <is>
          <t>Île-de-France</t>
        </is>
      </c>
      <c r="D1093" t="inlineStr">
        <is>
          <t>bateau</t>
        </is>
      </c>
      <c r="E1093" t="inlineStr">
        <is>
          <t>LOA</t>
        </is>
      </c>
      <c r="F1093" t="inlineStr">
        <is>
          <t>2024-10-08</t>
        </is>
      </c>
      <c r="G1093" s="4" t="n">
        <v>162916.28</v>
      </c>
      <c r="H1093" s="4">
        <f>MAX(0,G1093-SUMIFS('Paiements contrat'!$B:$B,'Paiements contrat'!$A:$A,A1093))</f>
        <v/>
      </c>
      <c r="I1093" s="4" t="n">
        <v>99940.77805682979</v>
      </c>
      <c r="J1093" t="inlineStr">
        <is>
          <t>actif</t>
        </is>
      </c>
    </row>
    <row r="1094">
      <c r="A1094" t="inlineStr">
        <is>
          <t>CTR-01116</t>
        </is>
      </c>
      <c r="B1094" t="inlineStr">
        <is>
          <t>CLI-00083</t>
        </is>
      </c>
      <c r="C1094" t="inlineStr">
        <is>
          <t>Réunion</t>
        </is>
      </c>
      <c r="D1094" t="inlineStr">
        <is>
          <t>auto</t>
        </is>
      </c>
      <c r="E1094" t="inlineStr">
        <is>
          <t>LOA</t>
        </is>
      </c>
      <c r="F1094" t="inlineStr">
        <is>
          <t>2025-09-01</t>
        </is>
      </c>
      <c r="G1094" s="4" t="n">
        <v>13246.34</v>
      </c>
      <c r="H1094" s="4">
        <f>MAX(0,G1094-SUMIFS('Paiements contrat'!$B:$B,'Paiements contrat'!$A:$A,A1094))</f>
        <v/>
      </c>
      <c r="I1094" s="4" t="n">
        <v>10738.95</v>
      </c>
      <c r="J1094" t="inlineStr">
        <is>
          <t>actif</t>
        </is>
      </c>
    </row>
    <row r="1095">
      <c r="A1095" t="inlineStr">
        <is>
          <t>CTR-01117</t>
        </is>
      </c>
      <c r="B1095" t="inlineStr">
        <is>
          <t>CLI-00899</t>
        </is>
      </c>
      <c r="C1095" t="inlineStr">
        <is>
          <t>Île-de-France</t>
        </is>
      </c>
      <c r="D1095" t="inlineStr">
        <is>
          <t>auto</t>
        </is>
      </c>
      <c r="E1095" t="inlineStr">
        <is>
          <t>LLD</t>
        </is>
      </c>
      <c r="F1095" t="inlineStr">
        <is>
          <t>2026-02-01</t>
        </is>
      </c>
      <c r="G1095" s="4" t="n">
        <v>15123.33</v>
      </c>
      <c r="H1095" s="4">
        <f>MAX(0,G1095-SUMIFS('Paiements contrat'!$B:$B,'Paiements contrat'!$A:$A,A1095))</f>
        <v/>
      </c>
      <c r="I1095" s="4" t="n">
        <v>14741.36</v>
      </c>
      <c r="J1095" t="inlineStr">
        <is>
          <t>actif</t>
        </is>
      </c>
    </row>
    <row r="1096">
      <c r="A1096" t="inlineStr">
        <is>
          <t>CTR-01118</t>
        </is>
      </c>
      <c r="B1096" t="inlineStr">
        <is>
          <t>CLI-00747</t>
        </is>
      </c>
      <c r="C1096" t="inlineStr">
        <is>
          <t>Martinique</t>
        </is>
      </c>
      <c r="D1096" t="inlineStr">
        <is>
          <t>auto</t>
        </is>
      </c>
      <c r="E1096" t="inlineStr">
        <is>
          <t>LLD</t>
        </is>
      </c>
      <c r="F1096" t="inlineStr">
        <is>
          <t>2024-08-02</t>
        </is>
      </c>
      <c r="G1096" s="4" t="n">
        <v>59717.66</v>
      </c>
      <c r="H1096" s="4">
        <f>MAX(0,G1096-SUMIFS('Paiements contrat'!$B:$B,'Paiements contrat'!$A:$A,A1096))</f>
        <v/>
      </c>
      <c r="I1096" s="4" t="n">
        <v>45507.54118512012</v>
      </c>
      <c r="J1096" t="inlineStr">
        <is>
          <t>actif</t>
        </is>
      </c>
    </row>
    <row r="1097">
      <c r="A1097" t="inlineStr">
        <is>
          <t>CTR-01119</t>
        </is>
      </c>
      <c r="B1097" t="inlineStr">
        <is>
          <t>CLI-01263</t>
        </is>
      </c>
      <c r="C1097" t="inlineStr">
        <is>
          <t>Île-de-France</t>
        </is>
      </c>
      <c r="D1097" t="inlineStr">
        <is>
          <t>auto</t>
        </is>
      </c>
      <c r="E1097" t="inlineStr">
        <is>
          <t>LOA</t>
        </is>
      </c>
      <c r="F1097" t="inlineStr">
        <is>
          <t>2025-01-24</t>
        </is>
      </c>
      <c r="G1097" s="4" t="n">
        <v>59968.77</v>
      </c>
      <c r="H1097" s="4">
        <f>MAX(0,G1097-SUMIFS('Paiements contrat'!$B:$B,'Paiements contrat'!$A:$A,A1097))</f>
        <v/>
      </c>
      <c r="I1097" s="4" t="n">
        <v>25903.46999999999</v>
      </c>
      <c r="J1097" t="inlineStr">
        <is>
          <t>actif</t>
        </is>
      </c>
    </row>
    <row r="1098">
      <c r="A1098" t="inlineStr">
        <is>
          <t>CTR-01120</t>
        </is>
      </c>
      <c r="B1098" t="inlineStr">
        <is>
          <t>CLI-01481</t>
        </is>
      </c>
      <c r="C1098" t="inlineStr">
        <is>
          <t>Île-de-France</t>
        </is>
      </c>
      <c r="D1098" t="inlineStr">
        <is>
          <t>auto</t>
        </is>
      </c>
      <c r="E1098" t="inlineStr">
        <is>
          <t>LLD</t>
        </is>
      </c>
      <c r="F1098" t="inlineStr">
        <is>
          <t>2024-10-16</t>
        </is>
      </c>
      <c r="G1098" s="4" t="n">
        <v>25636.05</v>
      </c>
      <c r="H1098" s="4">
        <f>MAX(0,G1098-SUMIFS('Paiements contrat'!$B:$B,'Paiements contrat'!$A:$A,A1098))</f>
        <v/>
      </c>
      <c r="I1098" s="4" t="n">
        <v>16233.25</v>
      </c>
      <c r="J1098" t="inlineStr">
        <is>
          <t>actif</t>
        </is>
      </c>
    </row>
    <row r="1099">
      <c r="A1099" t="inlineStr">
        <is>
          <t>CTR-01121</t>
        </is>
      </c>
      <c r="B1099" t="inlineStr">
        <is>
          <t>CLI-01006</t>
        </is>
      </c>
      <c r="C1099" t="inlineStr">
        <is>
          <t>Île-de-France</t>
        </is>
      </c>
      <c r="D1099" t="inlineStr">
        <is>
          <t>auto</t>
        </is>
      </c>
      <c r="E1099" t="inlineStr">
        <is>
          <t>LOA</t>
        </is>
      </c>
      <c r="F1099" t="inlineStr">
        <is>
          <t>2025-09-12</t>
        </is>
      </c>
      <c r="G1099" s="4" t="n">
        <v>61792.35</v>
      </c>
      <c r="H1099" s="4">
        <f>MAX(0,G1099-SUMIFS('Paiements contrat'!$B:$B,'Paiements contrat'!$A:$A,A1099))</f>
        <v/>
      </c>
      <c r="I1099" s="4" t="n">
        <v>49977.84</v>
      </c>
      <c r="J1099" t="inlineStr">
        <is>
          <t>actif</t>
        </is>
      </c>
    </row>
    <row r="1100">
      <c r="A1100" t="inlineStr">
        <is>
          <t>CTR-01122</t>
        </is>
      </c>
      <c r="B1100" t="inlineStr">
        <is>
          <t>CLI-01119</t>
        </is>
      </c>
      <c r="C1100" t="inlineStr">
        <is>
          <t>Île-de-France</t>
        </is>
      </c>
      <c r="D1100" t="inlineStr">
        <is>
          <t>auto</t>
        </is>
      </c>
      <c r="E1100" t="inlineStr">
        <is>
          <t>LOA</t>
        </is>
      </c>
      <c r="F1100" t="inlineStr">
        <is>
          <t>2024-04-21</t>
        </is>
      </c>
      <c r="G1100" s="4" t="n">
        <v>43634.38</v>
      </c>
      <c r="H1100" s="4">
        <f>MAX(0,G1100-SUMIFS('Paiements contrat'!$B:$B,'Paiements contrat'!$A:$A,A1100))</f>
        <v/>
      </c>
      <c r="I1100" s="4" t="n">
        <v>8245.006421539998</v>
      </c>
      <c r="J1100" t="inlineStr">
        <is>
          <t>actif</t>
        </is>
      </c>
    </row>
    <row r="1101">
      <c r="A1101" t="inlineStr">
        <is>
          <t>CTR-01124</t>
        </is>
      </c>
      <c r="B1101" t="inlineStr">
        <is>
          <t>CLI-00468</t>
        </is>
      </c>
      <c r="C1101" t="inlineStr">
        <is>
          <t>Guadeloupe</t>
        </is>
      </c>
      <c r="D1101" t="inlineStr">
        <is>
          <t>materiel</t>
        </is>
      </c>
      <c r="E1101" t="inlineStr">
        <is>
          <t>crédit-bail</t>
        </is>
      </c>
      <c r="F1101" t="inlineStr">
        <is>
          <t>2024-09-16</t>
        </is>
      </c>
      <c r="G1101" s="4" t="n">
        <v>149743.78</v>
      </c>
      <c r="H1101" s="4">
        <f>MAX(0,G1101-SUMIFS('Paiements contrat'!$B:$B,'Paiements contrat'!$A:$A,A1101))</f>
        <v/>
      </c>
      <c r="I1101" s="4" t="n">
        <v>74222.77784696665</v>
      </c>
      <c r="J1101" t="inlineStr">
        <is>
          <t>actif</t>
        </is>
      </c>
    </row>
    <row r="1102">
      <c r="A1102" t="inlineStr">
        <is>
          <t>CTR-01125</t>
        </is>
      </c>
      <c r="B1102" t="inlineStr">
        <is>
          <t>CLI-00170</t>
        </is>
      </c>
      <c r="C1102" t="inlineStr">
        <is>
          <t>Guadeloupe</t>
        </is>
      </c>
      <c r="D1102" t="inlineStr">
        <is>
          <t>materiel</t>
        </is>
      </c>
      <c r="E1102" t="inlineStr">
        <is>
          <t>crédit-bail</t>
        </is>
      </c>
      <c r="F1102" t="inlineStr">
        <is>
          <t>2024-11-09</t>
        </is>
      </c>
      <c r="G1102" s="4" t="n">
        <v>78523.95</v>
      </c>
      <c r="H1102" s="4">
        <f>MAX(0,G1102-SUMIFS('Paiements contrat'!$B:$B,'Paiements contrat'!$A:$A,A1102))</f>
        <v/>
      </c>
      <c r="I1102" s="4" t="n">
        <v>15833.68378977298</v>
      </c>
      <c r="J1102" t="inlineStr">
        <is>
          <t>actif</t>
        </is>
      </c>
    </row>
    <row r="1103">
      <c r="A1103" t="inlineStr">
        <is>
          <t>CTR-01126</t>
        </is>
      </c>
      <c r="B1103" t="inlineStr">
        <is>
          <t>CLI-01323</t>
        </is>
      </c>
      <c r="C1103" t="inlineStr">
        <is>
          <t>Réunion</t>
        </is>
      </c>
      <c r="D1103" t="inlineStr">
        <is>
          <t>materiel</t>
        </is>
      </c>
      <c r="E1103" t="inlineStr">
        <is>
          <t>crédit-bail</t>
        </is>
      </c>
      <c r="F1103" t="inlineStr">
        <is>
          <t>2025-08-21</t>
        </is>
      </c>
      <c r="G1103" s="4" t="n">
        <v>52043.22</v>
      </c>
      <c r="H1103" s="4">
        <f>MAX(0,G1103-SUMIFS('Paiements contrat'!$B:$B,'Paiements contrat'!$A:$A,A1103))</f>
        <v/>
      </c>
      <c r="I1103" s="4" t="n">
        <v>44040.82</v>
      </c>
      <c r="J1103" t="inlineStr">
        <is>
          <t>actif</t>
        </is>
      </c>
    </row>
    <row r="1104">
      <c r="A1104" t="inlineStr">
        <is>
          <t>CTR-01127</t>
        </is>
      </c>
      <c r="B1104" t="inlineStr">
        <is>
          <t>CLI-01297</t>
        </is>
      </c>
      <c r="C1104" t="inlineStr">
        <is>
          <t>Île-de-France</t>
        </is>
      </c>
      <c r="D1104" t="inlineStr">
        <is>
          <t>auto</t>
        </is>
      </c>
      <c r="E1104" t="inlineStr">
        <is>
          <t>LOA</t>
        </is>
      </c>
      <c r="F1104" t="inlineStr">
        <is>
          <t>2024-10-09</t>
        </is>
      </c>
      <c r="G1104" s="4" t="n">
        <v>39414.52</v>
      </c>
      <c r="H1104" s="4">
        <f>MAX(0,G1104-SUMIFS('Paiements contrat'!$B:$B,'Paiements contrat'!$A:$A,A1104))</f>
        <v/>
      </c>
      <c r="I1104" s="4" t="n">
        <v>19394.97</v>
      </c>
      <c r="J1104" t="inlineStr">
        <is>
          <t>actif</t>
        </is>
      </c>
    </row>
    <row r="1105">
      <c r="A1105" t="inlineStr">
        <is>
          <t>CTR-01128</t>
        </is>
      </c>
      <c r="B1105" t="inlineStr">
        <is>
          <t>CLI-01150</t>
        </is>
      </c>
      <c r="C1105" t="inlineStr">
        <is>
          <t>Île-de-France</t>
        </is>
      </c>
      <c r="D1105" t="inlineStr">
        <is>
          <t>materiel</t>
        </is>
      </c>
      <c r="E1105" t="inlineStr">
        <is>
          <t>crédit-bail</t>
        </is>
      </c>
      <c r="F1105" t="inlineStr">
        <is>
          <t>2026-02-16</t>
        </is>
      </c>
      <c r="G1105" s="4" t="n">
        <v>136258.01</v>
      </c>
      <c r="H1105" s="4">
        <f>MAX(0,G1105-SUMIFS('Paiements contrat'!$B:$B,'Paiements contrat'!$A:$A,A1105))</f>
        <v/>
      </c>
      <c r="I1105" s="4" t="n">
        <v>132928.09</v>
      </c>
      <c r="J1105" t="inlineStr">
        <is>
          <t>actif</t>
        </is>
      </c>
    </row>
    <row r="1106">
      <c r="A1106" t="inlineStr">
        <is>
          <t>CTR-01129</t>
        </is>
      </c>
      <c r="B1106" t="inlineStr">
        <is>
          <t>CLI-00330</t>
        </is>
      </c>
      <c r="C1106" t="inlineStr">
        <is>
          <t>Île-de-France</t>
        </is>
      </c>
      <c r="D1106" t="inlineStr">
        <is>
          <t>auto</t>
        </is>
      </c>
      <c r="E1106" t="inlineStr">
        <is>
          <t>LOA</t>
        </is>
      </c>
      <c r="F1106" t="inlineStr">
        <is>
          <t>2024-11-03</t>
        </is>
      </c>
      <c r="G1106" s="4" t="n">
        <v>40001.77</v>
      </c>
      <c r="H1106" s="4">
        <f>MAX(0,G1106-SUMIFS('Paiements contrat'!$B:$B,'Paiements contrat'!$A:$A,A1106))</f>
        <v/>
      </c>
      <c r="I1106" s="4" t="n">
        <v>15655.61</v>
      </c>
      <c r="J1106" t="inlineStr">
        <is>
          <t>actif</t>
        </is>
      </c>
    </row>
    <row r="1107">
      <c r="A1107" t="inlineStr">
        <is>
          <t>CTR-01130</t>
        </is>
      </c>
      <c r="B1107" t="inlineStr">
        <is>
          <t>CLI-01193</t>
        </is>
      </c>
      <c r="C1107" t="inlineStr">
        <is>
          <t>Réunion</t>
        </is>
      </c>
      <c r="D1107" t="inlineStr">
        <is>
          <t>auto</t>
        </is>
      </c>
      <c r="E1107" t="inlineStr">
        <is>
          <t>LOA</t>
        </is>
      </c>
      <c r="F1107" t="inlineStr">
        <is>
          <t>2025-02-21</t>
        </is>
      </c>
      <c r="G1107" s="4" t="n">
        <v>51824.37</v>
      </c>
      <c r="H1107" s="4">
        <f>MAX(0,G1107-SUMIFS('Paiements contrat'!$B:$B,'Paiements contrat'!$A:$A,A1107))</f>
        <v/>
      </c>
      <c r="I1107" s="4" t="n">
        <v>28941.62</v>
      </c>
      <c r="J1107" t="inlineStr">
        <is>
          <t>actif</t>
        </is>
      </c>
    </row>
    <row r="1108">
      <c r="A1108" t="inlineStr">
        <is>
          <t>CTR-01131</t>
        </is>
      </c>
      <c r="B1108" t="inlineStr">
        <is>
          <t>CLI-01047</t>
        </is>
      </c>
      <c r="C1108" t="inlineStr">
        <is>
          <t>Île-de-France</t>
        </is>
      </c>
      <c r="D1108" t="inlineStr">
        <is>
          <t>bateau</t>
        </is>
      </c>
      <c r="E1108" t="inlineStr">
        <is>
          <t>LOA</t>
        </is>
      </c>
      <c r="F1108" t="inlineStr">
        <is>
          <t>2025-06-02</t>
        </is>
      </c>
      <c r="G1108" s="4" t="n">
        <v>25945.51</v>
      </c>
      <c r="H1108" s="4">
        <f>MAX(0,G1108-SUMIFS('Paiements contrat'!$B:$B,'Paiements contrat'!$A:$A,A1108))</f>
        <v/>
      </c>
      <c r="I1108" s="4" t="n">
        <v>20687.36</v>
      </c>
      <c r="J1108" t="inlineStr">
        <is>
          <t>actif</t>
        </is>
      </c>
    </row>
    <row r="1109">
      <c r="A1109" t="inlineStr">
        <is>
          <t>CTR-01132</t>
        </is>
      </c>
      <c r="B1109" t="inlineStr">
        <is>
          <t>CLI-00124</t>
        </is>
      </c>
      <c r="C1109" t="inlineStr">
        <is>
          <t>Île-de-France</t>
        </is>
      </c>
      <c r="D1109" t="inlineStr">
        <is>
          <t>auto</t>
        </is>
      </c>
      <c r="E1109" t="inlineStr">
        <is>
          <t>LOA</t>
        </is>
      </c>
      <c r="F1109" t="inlineStr">
        <is>
          <t>2025-05-17</t>
        </is>
      </c>
      <c r="G1109" s="4" t="n">
        <v>50844.7</v>
      </c>
      <c r="H1109" s="4">
        <f>MAX(0,G1109-SUMIFS('Paiements contrat'!$B:$B,'Paiements contrat'!$A:$A,A1109))</f>
        <v/>
      </c>
      <c r="I1109" s="4" t="n">
        <v>37697.46</v>
      </c>
      <c r="J1109" t="inlineStr">
        <is>
          <t>actif</t>
        </is>
      </c>
    </row>
    <row r="1110">
      <c r="A1110" t="inlineStr">
        <is>
          <t>CTR-01133</t>
        </is>
      </c>
      <c r="B1110" t="inlineStr">
        <is>
          <t>CLI-00159</t>
        </is>
      </c>
      <c r="C1110" t="inlineStr">
        <is>
          <t>Île-de-France</t>
        </is>
      </c>
      <c r="D1110" t="inlineStr">
        <is>
          <t>materiel</t>
        </is>
      </c>
      <c r="E1110" t="inlineStr">
        <is>
          <t>crédit-bail</t>
        </is>
      </c>
      <c r="F1110" t="inlineStr">
        <is>
          <t>2025-09-22</t>
        </is>
      </c>
      <c r="G1110" s="4" t="n">
        <v>188542.43</v>
      </c>
      <c r="H1110" s="4">
        <f>MAX(0,G1110-SUMIFS('Paiements contrat'!$B:$B,'Paiements contrat'!$A:$A,A1110))</f>
        <v/>
      </c>
      <c r="I1110" s="4" t="n">
        <v>143915.75</v>
      </c>
      <c r="J1110" t="inlineStr">
        <is>
          <t>actif</t>
        </is>
      </c>
    </row>
    <row r="1111">
      <c r="A1111" t="inlineStr">
        <is>
          <t>CTR-01134</t>
        </is>
      </c>
      <c r="B1111" t="inlineStr">
        <is>
          <t>CLI-00487</t>
        </is>
      </c>
      <c r="C1111" t="inlineStr">
        <is>
          <t>Guyane</t>
        </is>
      </c>
      <c r="D1111" t="inlineStr">
        <is>
          <t>bateau</t>
        </is>
      </c>
      <c r="E1111" t="inlineStr">
        <is>
          <t>LOA</t>
        </is>
      </c>
      <c r="F1111" t="inlineStr">
        <is>
          <t>2024-11-23</t>
        </is>
      </c>
      <c r="G1111" s="4" t="n">
        <v>184695.02</v>
      </c>
      <c r="H1111" s="4">
        <f>MAX(0,G1111-SUMIFS('Paiements contrat'!$B:$B,'Paiements contrat'!$A:$A,A1111))</f>
        <v/>
      </c>
      <c r="I1111" s="4" t="n">
        <v>141363.56</v>
      </c>
      <c r="J1111" t="inlineStr">
        <is>
          <t>actif</t>
        </is>
      </c>
    </row>
    <row r="1112">
      <c r="A1112" t="inlineStr">
        <is>
          <t>CTR-01135</t>
        </is>
      </c>
      <c r="B1112" t="inlineStr">
        <is>
          <t>CLI-01077</t>
        </is>
      </c>
      <c r="C1112" t="inlineStr">
        <is>
          <t>Île-de-France</t>
        </is>
      </c>
      <c r="D1112" t="inlineStr">
        <is>
          <t>auto</t>
        </is>
      </c>
      <c r="E1112" t="inlineStr">
        <is>
          <t>LOA</t>
        </is>
      </c>
      <c r="F1112" t="inlineStr">
        <is>
          <t>2025-04-13</t>
        </is>
      </c>
      <c r="G1112" s="4" t="n">
        <v>41357.33</v>
      </c>
      <c r="H1112" s="4">
        <f>MAX(0,G1112-SUMIFS('Paiements contrat'!$B:$B,'Paiements contrat'!$A:$A,A1112))</f>
        <v/>
      </c>
      <c r="I1112" s="4" t="n">
        <v>24778</v>
      </c>
      <c r="J1112" t="inlineStr">
        <is>
          <t>contentieux</t>
        </is>
      </c>
    </row>
    <row r="1113">
      <c r="A1113" t="inlineStr">
        <is>
          <t>CTR-01136</t>
        </is>
      </c>
      <c r="B1113" t="inlineStr">
        <is>
          <t>CLI-00168</t>
        </is>
      </c>
      <c r="C1113" t="inlineStr">
        <is>
          <t>Île-de-France</t>
        </is>
      </c>
      <c r="D1113" t="inlineStr">
        <is>
          <t>materiel</t>
        </is>
      </c>
      <c r="E1113" t="inlineStr">
        <is>
          <t>crédit-bail</t>
        </is>
      </c>
      <c r="F1113" t="inlineStr">
        <is>
          <t>2024-08-26</t>
        </is>
      </c>
      <c r="G1113" s="4" t="n">
        <v>100391.5</v>
      </c>
      <c r="H1113" s="4">
        <f>MAX(0,G1113-SUMIFS('Paiements contrat'!$B:$B,'Paiements contrat'!$A:$A,A1113))</f>
        <v/>
      </c>
      <c r="I1113" s="4" t="n">
        <v>53980.48</v>
      </c>
      <c r="J1113" t="inlineStr">
        <is>
          <t>actif</t>
        </is>
      </c>
    </row>
    <row r="1114">
      <c r="A1114" t="inlineStr">
        <is>
          <t>CTR-01137</t>
        </is>
      </c>
      <c r="B1114" t="inlineStr">
        <is>
          <t>CLI-00349</t>
        </is>
      </c>
      <c r="C1114" t="inlineStr">
        <is>
          <t>Martinique</t>
        </is>
      </c>
      <c r="D1114" t="inlineStr">
        <is>
          <t>materiel</t>
        </is>
      </c>
      <c r="E1114" t="inlineStr">
        <is>
          <t>crédit-bail</t>
        </is>
      </c>
      <c r="F1114" t="inlineStr">
        <is>
          <t>2025-01-02</t>
        </is>
      </c>
      <c r="G1114" s="4" t="n">
        <v>134652.75</v>
      </c>
      <c r="H1114" s="4">
        <f>MAX(0,G1114-SUMIFS('Paiements contrat'!$B:$B,'Paiements contrat'!$A:$A,A1114))</f>
        <v/>
      </c>
      <c r="I1114" s="4" t="n">
        <v>58012.74000000001</v>
      </c>
      <c r="J1114" t="inlineStr">
        <is>
          <t>actif</t>
        </is>
      </c>
    </row>
    <row r="1115">
      <c r="A1115" t="inlineStr">
        <is>
          <t>CTR-01138</t>
        </is>
      </c>
      <c r="B1115" t="inlineStr">
        <is>
          <t>CLI-00729</t>
        </is>
      </c>
      <c r="C1115" t="inlineStr">
        <is>
          <t>Île-de-France</t>
        </is>
      </c>
      <c r="D1115" t="inlineStr">
        <is>
          <t>auto</t>
        </is>
      </c>
      <c r="E1115" t="inlineStr">
        <is>
          <t>LOA</t>
        </is>
      </c>
      <c r="F1115" t="inlineStr">
        <is>
          <t>2024-11-24</t>
        </is>
      </c>
      <c r="G1115" s="4" t="n">
        <v>48941.22</v>
      </c>
      <c r="H1115" s="4">
        <f>MAX(0,G1115-SUMIFS('Paiements contrat'!$B:$B,'Paiements contrat'!$A:$A,A1115))</f>
        <v/>
      </c>
      <c r="I1115" s="4" t="n">
        <v>2244.146809846483</v>
      </c>
      <c r="J1115" t="inlineStr">
        <is>
          <t>actif</t>
        </is>
      </c>
    </row>
    <row r="1116">
      <c r="A1116" t="inlineStr">
        <is>
          <t>CTR-01139</t>
        </is>
      </c>
      <c r="B1116" t="inlineStr">
        <is>
          <t>CLI-00441</t>
        </is>
      </c>
      <c r="C1116" t="inlineStr">
        <is>
          <t>Martinique</t>
        </is>
      </c>
      <c r="D1116" t="inlineStr">
        <is>
          <t>auto</t>
        </is>
      </c>
      <c r="E1116" t="inlineStr">
        <is>
          <t>LOA</t>
        </is>
      </c>
      <c r="F1116" t="inlineStr">
        <is>
          <t>2024-04-06</t>
        </is>
      </c>
      <c r="G1116" s="4" t="n">
        <v>49459.05</v>
      </c>
      <c r="H1116" s="4">
        <f>MAX(0,G1116-SUMIFS('Paiements contrat'!$B:$B,'Paiements contrat'!$A:$A,A1116))</f>
        <v/>
      </c>
      <c r="I1116" s="4" t="n">
        <v>28979.16</v>
      </c>
      <c r="J1116" t="inlineStr">
        <is>
          <t>actif</t>
        </is>
      </c>
    </row>
    <row r="1117">
      <c r="A1117" t="inlineStr">
        <is>
          <t>CTR-01140</t>
        </is>
      </c>
      <c r="B1117" t="inlineStr">
        <is>
          <t>CLI-00758</t>
        </is>
      </c>
      <c r="C1117" t="inlineStr">
        <is>
          <t>Île-de-France</t>
        </is>
      </c>
      <c r="D1117" t="inlineStr">
        <is>
          <t>auto</t>
        </is>
      </c>
      <c r="E1117" t="inlineStr">
        <is>
          <t>LOA</t>
        </is>
      </c>
      <c r="F1117" t="inlineStr">
        <is>
          <t>2025-10-19</t>
        </is>
      </c>
      <c r="G1117" s="4" t="n">
        <v>27668.65</v>
      </c>
      <c r="H1117" s="4">
        <f>MAX(0,G1117-SUMIFS('Paiements contrat'!$B:$B,'Paiements contrat'!$A:$A,A1117))</f>
        <v/>
      </c>
      <c r="I1117" s="4" t="n">
        <v>22956.55675549482</v>
      </c>
      <c r="J1117" t="inlineStr">
        <is>
          <t>actif</t>
        </is>
      </c>
    </row>
    <row r="1118">
      <c r="A1118" t="inlineStr">
        <is>
          <t>CTR-01141</t>
        </is>
      </c>
      <c r="B1118" t="inlineStr">
        <is>
          <t>CLI-00870</t>
        </is>
      </c>
      <c r="C1118" t="inlineStr">
        <is>
          <t>Île-de-France</t>
        </is>
      </c>
      <c r="D1118" t="inlineStr">
        <is>
          <t>auto</t>
        </is>
      </c>
      <c r="E1118" t="inlineStr">
        <is>
          <t>LOA</t>
        </is>
      </c>
      <c r="F1118" t="inlineStr">
        <is>
          <t>2024-08-15</t>
        </is>
      </c>
      <c r="G1118" s="4" t="n">
        <v>53975.56</v>
      </c>
      <c r="H1118" s="4">
        <f>MAX(0,G1118-SUMIFS('Paiements contrat'!$B:$B,'Paiements contrat'!$A:$A,A1118))</f>
        <v/>
      </c>
      <c r="I1118" s="4" t="n">
        <v>27159.47792599829</v>
      </c>
      <c r="J1118" t="inlineStr">
        <is>
          <t>actif</t>
        </is>
      </c>
    </row>
    <row r="1119">
      <c r="A1119" t="inlineStr">
        <is>
          <t>CTR-01142</t>
        </is>
      </c>
      <c r="B1119" t="inlineStr">
        <is>
          <t>CLI-00057</t>
        </is>
      </c>
      <c r="C1119" t="inlineStr">
        <is>
          <t>Guyane</t>
        </is>
      </c>
      <c r="D1119" t="inlineStr">
        <is>
          <t>bateau</t>
        </is>
      </c>
      <c r="E1119" t="inlineStr">
        <is>
          <t>LOA</t>
        </is>
      </c>
      <c r="F1119" t="inlineStr">
        <is>
          <t>2024-06-27</t>
        </is>
      </c>
      <c r="G1119" s="4" t="n">
        <v>76556</v>
      </c>
      <c r="H1119" s="4">
        <f>MAX(0,G1119-SUMIFS('Paiements contrat'!$B:$B,'Paiements contrat'!$A:$A,A1119))</f>
        <v/>
      </c>
      <c r="I1119" s="4" t="n">
        <v>29182.56944652252</v>
      </c>
      <c r="J1119" t="inlineStr">
        <is>
          <t>actif</t>
        </is>
      </c>
    </row>
    <row r="1120">
      <c r="A1120" t="inlineStr">
        <is>
          <t>CTR-01143</t>
        </is>
      </c>
      <c r="B1120" t="inlineStr">
        <is>
          <t>CLI-00388</t>
        </is>
      </c>
      <c r="C1120" t="inlineStr">
        <is>
          <t>Île-de-France</t>
        </is>
      </c>
      <c r="D1120" t="inlineStr">
        <is>
          <t>auto</t>
        </is>
      </c>
      <c r="E1120" t="inlineStr">
        <is>
          <t>LOA</t>
        </is>
      </c>
      <c r="F1120" t="inlineStr">
        <is>
          <t>2025-04-07</t>
        </is>
      </c>
      <c r="G1120" s="4" t="n">
        <v>23150.87</v>
      </c>
      <c r="H1120" s="4">
        <f>MAX(0,G1120-SUMIFS('Paiements contrat'!$B:$B,'Paiements contrat'!$A:$A,A1120))</f>
        <v/>
      </c>
      <c r="I1120" s="4" t="n">
        <v>15861.80161281886</v>
      </c>
      <c r="J1120" t="inlineStr">
        <is>
          <t>actif</t>
        </is>
      </c>
    </row>
    <row r="1121">
      <c r="A1121" t="inlineStr">
        <is>
          <t>CTR-01144</t>
        </is>
      </c>
      <c r="B1121" t="inlineStr">
        <is>
          <t>CLI-01399</t>
        </is>
      </c>
      <c r="C1121" t="inlineStr">
        <is>
          <t>Île-de-France</t>
        </is>
      </c>
      <c r="D1121" t="inlineStr">
        <is>
          <t>auto</t>
        </is>
      </c>
      <c r="E1121" t="inlineStr">
        <is>
          <t>LLD</t>
        </is>
      </c>
      <c r="F1121" t="inlineStr">
        <is>
          <t>2025-01-23</t>
        </is>
      </c>
      <c r="G1121" s="4" t="n">
        <v>56418.52</v>
      </c>
      <c r="H1121" s="4">
        <f>MAX(0,G1121-SUMIFS('Paiements contrat'!$B:$B,'Paiements contrat'!$A:$A,A1121))</f>
        <v/>
      </c>
      <c r="I1121" s="4" t="n">
        <v>28621.95</v>
      </c>
      <c r="J1121" t="inlineStr">
        <is>
          <t>actif</t>
        </is>
      </c>
    </row>
    <row r="1122">
      <c r="A1122" t="inlineStr">
        <is>
          <t>CTR-01145</t>
        </is>
      </c>
      <c r="B1122" t="inlineStr">
        <is>
          <t>CLI-01071</t>
        </is>
      </c>
      <c r="C1122" t="inlineStr">
        <is>
          <t>Île-de-France</t>
        </is>
      </c>
      <c r="D1122" t="inlineStr">
        <is>
          <t>auto</t>
        </is>
      </c>
      <c r="E1122" t="inlineStr">
        <is>
          <t>LOA</t>
        </is>
      </c>
      <c r="F1122" t="inlineStr">
        <is>
          <t>2024-04-13</t>
        </is>
      </c>
      <c r="G1122" s="4" t="n">
        <v>21930.51</v>
      </c>
      <c r="H1122" s="4">
        <f>MAX(0,G1122-SUMIFS('Paiements contrat'!$B:$B,'Paiements contrat'!$A:$A,A1122))</f>
        <v/>
      </c>
      <c r="I1122" s="4" t="n">
        <v>6090.639999999999</v>
      </c>
      <c r="J1122" t="inlineStr">
        <is>
          <t>actif</t>
        </is>
      </c>
    </row>
    <row r="1123">
      <c r="A1123" t="inlineStr">
        <is>
          <t>CTR-01146</t>
        </is>
      </c>
      <c r="B1123" t="inlineStr">
        <is>
          <t>CLI-00952</t>
        </is>
      </c>
      <c r="C1123" t="inlineStr">
        <is>
          <t>Martinique</t>
        </is>
      </c>
      <c r="D1123" t="inlineStr">
        <is>
          <t>auto</t>
        </is>
      </c>
      <c r="E1123" t="inlineStr">
        <is>
          <t>LLD</t>
        </is>
      </c>
      <c r="F1123" t="inlineStr">
        <is>
          <t>2025-12-11</t>
        </is>
      </c>
      <c r="G1123" s="4" t="n">
        <v>46077.73</v>
      </c>
      <c r="H1123" s="4">
        <f>MAX(0,G1123-SUMIFS('Paiements contrat'!$B:$B,'Paiements contrat'!$A:$A,A1123))</f>
        <v/>
      </c>
      <c r="I1123" s="4" t="n">
        <v>42467.10000000001</v>
      </c>
      <c r="J1123" t="inlineStr">
        <is>
          <t>actif</t>
        </is>
      </c>
    </row>
    <row r="1124">
      <c r="A1124" t="inlineStr">
        <is>
          <t>CTR-01147</t>
        </is>
      </c>
      <c r="B1124" t="inlineStr">
        <is>
          <t>CLI-01429</t>
        </is>
      </c>
      <c r="C1124" t="inlineStr">
        <is>
          <t>Île-de-France</t>
        </is>
      </c>
      <c r="D1124" t="inlineStr">
        <is>
          <t>auto</t>
        </is>
      </c>
      <c r="E1124" t="inlineStr">
        <is>
          <t>LOA</t>
        </is>
      </c>
      <c r="F1124" t="inlineStr">
        <is>
          <t>2025-10-16</t>
        </is>
      </c>
      <c r="G1124" s="4" t="n">
        <v>42306.59</v>
      </c>
      <c r="H1124" s="4">
        <f>MAX(0,G1124-SUMIFS('Paiements contrat'!$B:$B,'Paiements contrat'!$A:$A,A1124))</f>
        <v/>
      </c>
      <c r="I1124" s="4" t="n">
        <v>24923.48</v>
      </c>
      <c r="J1124" t="inlineStr">
        <is>
          <t>actif</t>
        </is>
      </c>
    </row>
    <row r="1125">
      <c r="A1125" t="inlineStr">
        <is>
          <t>CTR-01148</t>
        </is>
      </c>
      <c r="B1125" t="inlineStr">
        <is>
          <t>CLI-00025</t>
        </is>
      </c>
      <c r="C1125" t="inlineStr">
        <is>
          <t>Martinique</t>
        </is>
      </c>
      <c r="D1125" t="inlineStr">
        <is>
          <t>auto</t>
        </is>
      </c>
      <c r="E1125" t="inlineStr">
        <is>
          <t>LLD</t>
        </is>
      </c>
      <c r="F1125" t="inlineStr">
        <is>
          <t>2025-09-16</t>
        </is>
      </c>
      <c r="G1125" s="4" t="n">
        <v>66301.85000000001</v>
      </c>
      <c r="H1125" s="4">
        <f>MAX(0,G1125-SUMIFS('Paiements contrat'!$B:$B,'Paiements contrat'!$A:$A,A1125))</f>
        <v/>
      </c>
      <c r="I1125" s="4" t="n">
        <v>60661.07000000001</v>
      </c>
      <c r="J1125" t="inlineStr">
        <is>
          <t>contentieux</t>
        </is>
      </c>
    </row>
    <row r="1126">
      <c r="A1126" t="inlineStr">
        <is>
          <t>CTR-01149</t>
        </is>
      </c>
      <c r="B1126" t="inlineStr">
        <is>
          <t>CLI-01457</t>
        </is>
      </c>
      <c r="C1126" t="inlineStr">
        <is>
          <t>Guyane</t>
        </is>
      </c>
      <c r="D1126" t="inlineStr">
        <is>
          <t>auto</t>
        </is>
      </c>
      <c r="E1126" t="inlineStr">
        <is>
          <t>LOA</t>
        </is>
      </c>
      <c r="F1126" t="inlineStr">
        <is>
          <t>2025-08-12</t>
        </is>
      </c>
      <c r="G1126" s="4" t="n">
        <v>39730.74</v>
      </c>
      <c r="H1126" s="4">
        <f>MAX(0,G1126-SUMIFS('Paiements contrat'!$B:$B,'Paiements contrat'!$A:$A,A1126))</f>
        <v/>
      </c>
      <c r="I1126" s="4" t="n">
        <v>31131.14862452012</v>
      </c>
      <c r="J1126" t="inlineStr">
        <is>
          <t>actif</t>
        </is>
      </c>
    </row>
    <row r="1127">
      <c r="A1127" t="inlineStr">
        <is>
          <t>CTR-01150</t>
        </is>
      </c>
      <c r="B1127" t="inlineStr">
        <is>
          <t>CLI-00887</t>
        </is>
      </c>
      <c r="C1127" t="inlineStr">
        <is>
          <t>Île-de-France</t>
        </is>
      </c>
      <c r="D1127" t="inlineStr">
        <is>
          <t>auto</t>
        </is>
      </c>
      <c r="E1127" t="inlineStr">
        <is>
          <t>LOA</t>
        </is>
      </c>
      <c r="F1127" t="inlineStr">
        <is>
          <t>2025-05-08</t>
        </is>
      </c>
      <c r="G1127" s="4" t="n">
        <v>45250.09</v>
      </c>
      <c r="H1127" s="4">
        <f>MAX(0,G1127-SUMIFS('Paiements contrat'!$B:$B,'Paiements contrat'!$A:$A,A1127))</f>
        <v/>
      </c>
      <c r="I1127" s="4" t="n">
        <v>23132.44</v>
      </c>
      <c r="J1127" t="inlineStr">
        <is>
          <t>actif</t>
        </is>
      </c>
    </row>
    <row r="1128">
      <c r="A1128" t="inlineStr">
        <is>
          <t>CTR-01151</t>
        </is>
      </c>
      <c r="B1128" t="inlineStr">
        <is>
          <t>CLI-00360</t>
        </is>
      </c>
      <c r="C1128" t="inlineStr">
        <is>
          <t>Guadeloupe</t>
        </is>
      </c>
      <c r="D1128" t="inlineStr">
        <is>
          <t>auto</t>
        </is>
      </c>
      <c r="E1128" t="inlineStr">
        <is>
          <t>LOA</t>
        </is>
      </c>
      <c r="F1128" t="inlineStr">
        <is>
          <t>2024-12-24</t>
        </is>
      </c>
      <c r="G1128" s="4" t="n">
        <v>77135.94</v>
      </c>
      <c r="H1128" s="4">
        <f>MAX(0,G1128-SUMIFS('Paiements contrat'!$B:$B,'Paiements contrat'!$A:$A,A1128))</f>
        <v/>
      </c>
      <c r="I1128" s="4" t="n">
        <v>53259.65</v>
      </c>
      <c r="J1128" t="inlineStr">
        <is>
          <t>actif</t>
        </is>
      </c>
    </row>
    <row r="1129">
      <c r="A1129" t="inlineStr">
        <is>
          <t>CTR-01152</t>
        </is>
      </c>
      <c r="B1129" t="inlineStr">
        <is>
          <t>CLI-01230</t>
        </is>
      </c>
      <c r="C1129" t="inlineStr">
        <is>
          <t>Île-de-France</t>
        </is>
      </c>
      <c r="D1129" t="inlineStr">
        <is>
          <t>materiel</t>
        </is>
      </c>
      <c r="E1129" t="inlineStr">
        <is>
          <t>crédit-bail</t>
        </is>
      </c>
      <c r="F1129" t="inlineStr">
        <is>
          <t>2024-12-01</t>
        </is>
      </c>
      <c r="G1129" s="4" t="n">
        <v>54652.04</v>
      </c>
      <c r="H1129" s="4">
        <f>MAX(0,G1129-SUMIFS('Paiements contrat'!$B:$B,'Paiements contrat'!$A:$A,A1129))</f>
        <v/>
      </c>
      <c r="I1129" s="4" t="n">
        <v>45225.34695533255</v>
      </c>
      <c r="J1129" t="inlineStr">
        <is>
          <t>contentieux</t>
        </is>
      </c>
    </row>
    <row r="1130">
      <c r="A1130" t="inlineStr">
        <is>
          <t>CTR-01153</t>
        </is>
      </c>
      <c r="B1130" t="inlineStr">
        <is>
          <t>CLI-00760</t>
        </is>
      </c>
      <c r="C1130" t="inlineStr">
        <is>
          <t>Île-de-France</t>
        </is>
      </c>
      <c r="D1130" t="inlineStr">
        <is>
          <t>auto</t>
        </is>
      </c>
      <c r="E1130" t="inlineStr">
        <is>
          <t>LOA</t>
        </is>
      </c>
      <c r="F1130" t="inlineStr">
        <is>
          <t>2025-10-11</t>
        </is>
      </c>
      <c r="G1130" s="4" t="n">
        <v>61037.34</v>
      </c>
      <c r="H1130" s="4">
        <f>MAX(0,G1130-SUMIFS('Paiements contrat'!$B:$B,'Paiements contrat'!$A:$A,A1130))</f>
        <v/>
      </c>
      <c r="I1130" s="4" t="n">
        <v>56451.37</v>
      </c>
      <c r="J1130" t="inlineStr">
        <is>
          <t>actif</t>
        </is>
      </c>
    </row>
    <row r="1131">
      <c r="A1131" t="inlineStr">
        <is>
          <t>CTR-01154</t>
        </is>
      </c>
      <c r="B1131" t="inlineStr">
        <is>
          <t>CLI-00551</t>
        </is>
      </c>
      <c r="C1131" t="inlineStr">
        <is>
          <t>Île-de-France</t>
        </is>
      </c>
      <c r="D1131" t="inlineStr">
        <is>
          <t>bateau</t>
        </is>
      </c>
      <c r="E1131" t="inlineStr">
        <is>
          <t>LOA</t>
        </is>
      </c>
      <c r="F1131" t="inlineStr">
        <is>
          <t>2024-10-08</t>
        </is>
      </c>
      <c r="G1131" s="4" t="n">
        <v>282463.01</v>
      </c>
      <c r="H1131" s="4">
        <f>MAX(0,G1131-SUMIFS('Paiements contrat'!$B:$B,'Paiements contrat'!$A:$A,A1131))</f>
        <v/>
      </c>
      <c r="I1131" s="4" t="n">
        <v>214181.5861626332</v>
      </c>
      <c r="J1131" t="inlineStr">
        <is>
          <t>actif</t>
        </is>
      </c>
    </row>
    <row r="1132">
      <c r="A1132" t="inlineStr">
        <is>
          <t>CTR-01155</t>
        </is>
      </c>
      <c r="B1132" t="inlineStr">
        <is>
          <t>CLI-00460</t>
        </is>
      </c>
      <c r="C1132" t="inlineStr">
        <is>
          <t>Île-de-France</t>
        </is>
      </c>
      <c r="D1132" t="inlineStr">
        <is>
          <t>bateau</t>
        </is>
      </c>
      <c r="E1132" t="inlineStr">
        <is>
          <t>LOA</t>
        </is>
      </c>
      <c r="F1132" t="inlineStr">
        <is>
          <t>2025-04-04</t>
        </is>
      </c>
      <c r="G1132" s="4" t="n">
        <v>148319.58</v>
      </c>
      <c r="H1132" s="4">
        <f>MAX(0,G1132-SUMIFS('Paiements contrat'!$B:$B,'Paiements contrat'!$A:$A,A1132))</f>
        <v/>
      </c>
      <c r="I1132" s="4" t="n">
        <v>119430.1170153798</v>
      </c>
      <c r="J1132" t="inlineStr">
        <is>
          <t>actif</t>
        </is>
      </c>
    </row>
    <row r="1133">
      <c r="A1133" t="inlineStr">
        <is>
          <t>CTR-01156</t>
        </is>
      </c>
      <c r="B1133" t="inlineStr">
        <is>
          <t>CLI-00231</t>
        </is>
      </c>
      <c r="C1133" t="inlineStr">
        <is>
          <t>Île-de-France</t>
        </is>
      </c>
      <c r="D1133" t="inlineStr">
        <is>
          <t>auto</t>
        </is>
      </c>
      <c r="E1133" t="inlineStr">
        <is>
          <t>LLD</t>
        </is>
      </c>
      <c r="F1133" t="inlineStr">
        <is>
          <t>2024-10-07</t>
        </is>
      </c>
      <c r="G1133" s="4" t="n">
        <v>34134.04</v>
      </c>
      <c r="H1133" s="4">
        <f>MAX(0,G1133-SUMIFS('Paiements contrat'!$B:$B,'Paiements contrat'!$A:$A,A1133))</f>
        <v/>
      </c>
      <c r="I1133" s="4" t="n">
        <v>25452.81</v>
      </c>
      <c r="J1133" t="inlineStr">
        <is>
          <t>actif</t>
        </is>
      </c>
    </row>
    <row r="1134">
      <c r="A1134" t="inlineStr">
        <is>
          <t>CTR-01157</t>
        </is>
      </c>
      <c r="B1134" t="inlineStr">
        <is>
          <t>CLI-00305</t>
        </is>
      </c>
      <c r="C1134" t="inlineStr">
        <is>
          <t>Martinique</t>
        </is>
      </c>
      <c r="D1134" t="inlineStr">
        <is>
          <t>auto</t>
        </is>
      </c>
      <c r="E1134" t="inlineStr">
        <is>
          <t>LLD</t>
        </is>
      </c>
      <c r="F1134" t="inlineStr">
        <is>
          <t>2025-10-12</t>
        </is>
      </c>
      <c r="G1134" s="4" t="n">
        <v>13222.98</v>
      </c>
      <c r="H1134" s="4">
        <f>MAX(0,G1134-SUMIFS('Paiements contrat'!$B:$B,'Paiements contrat'!$A:$A,A1134))</f>
        <v/>
      </c>
      <c r="I1134" s="4" t="n">
        <v>10655.41</v>
      </c>
      <c r="J1134" t="inlineStr">
        <is>
          <t>actif</t>
        </is>
      </c>
    </row>
    <row r="1135">
      <c r="A1135" t="inlineStr">
        <is>
          <t>CTR-01158</t>
        </is>
      </c>
      <c r="B1135" t="inlineStr">
        <is>
          <t>CLI-01318</t>
        </is>
      </c>
      <c r="C1135" t="inlineStr">
        <is>
          <t>Île-de-France</t>
        </is>
      </c>
      <c r="D1135" t="inlineStr">
        <is>
          <t>materiel</t>
        </is>
      </c>
      <c r="E1135" t="inlineStr">
        <is>
          <t>crédit-bail</t>
        </is>
      </c>
      <c r="F1135" t="inlineStr">
        <is>
          <t>2024-06-27</t>
        </is>
      </c>
      <c r="G1135" s="4" t="n">
        <v>103121.77</v>
      </c>
      <c r="H1135" s="4">
        <f>MAX(0,G1135-SUMIFS('Paiements contrat'!$B:$B,'Paiements contrat'!$A:$A,A1135))</f>
        <v/>
      </c>
      <c r="I1135" s="4" t="n">
        <v>55517.9</v>
      </c>
      <c r="J1135" t="inlineStr">
        <is>
          <t>actif</t>
        </is>
      </c>
    </row>
    <row r="1136">
      <c r="A1136" t="inlineStr">
        <is>
          <t>CTR-01159</t>
        </is>
      </c>
      <c r="B1136" t="inlineStr">
        <is>
          <t>CLI-00046</t>
        </is>
      </c>
      <c r="C1136" t="inlineStr">
        <is>
          <t>Martinique</t>
        </is>
      </c>
      <c r="D1136" t="inlineStr">
        <is>
          <t>auto</t>
        </is>
      </c>
      <c r="E1136" t="inlineStr">
        <is>
          <t>LOA</t>
        </is>
      </c>
      <c r="F1136" t="inlineStr">
        <is>
          <t>2024-04-11</t>
        </is>
      </c>
      <c r="G1136" s="4" t="n">
        <v>40696.14</v>
      </c>
      <c r="H1136" s="4">
        <f>MAX(0,G1136-SUMIFS('Paiements contrat'!$B:$B,'Paiements contrat'!$A:$A,A1136))</f>
        <v/>
      </c>
      <c r="I1136" s="4" t="n">
        <v>10646.60374027442</v>
      </c>
      <c r="J1136" t="inlineStr">
        <is>
          <t>actif</t>
        </is>
      </c>
    </row>
    <row r="1137">
      <c r="A1137" t="inlineStr">
        <is>
          <t>CTR-01160</t>
        </is>
      </c>
      <c r="B1137" t="inlineStr">
        <is>
          <t>CLI-00563</t>
        </is>
      </c>
      <c r="C1137" t="inlineStr">
        <is>
          <t>Guadeloupe</t>
        </is>
      </c>
      <c r="D1137" t="inlineStr">
        <is>
          <t>bateau</t>
        </is>
      </c>
      <c r="E1137" t="inlineStr">
        <is>
          <t>LOA</t>
        </is>
      </c>
      <c r="F1137" t="inlineStr">
        <is>
          <t>2025-04-17</t>
        </is>
      </c>
      <c r="G1137" s="4" t="n">
        <v>35741.31</v>
      </c>
      <c r="H1137" s="4">
        <f>MAX(0,G1137-SUMIFS('Paiements contrat'!$B:$B,'Paiements contrat'!$A:$A,A1137))</f>
        <v/>
      </c>
      <c r="I1137" s="4" t="n">
        <v>28337.91826753413</v>
      </c>
      <c r="J1137" t="inlineStr">
        <is>
          <t>actif</t>
        </is>
      </c>
    </row>
    <row r="1138">
      <c r="A1138" t="inlineStr">
        <is>
          <t>CTR-01161</t>
        </is>
      </c>
      <c r="B1138" t="inlineStr">
        <is>
          <t>CLI-01016</t>
        </is>
      </c>
      <c r="C1138" t="inlineStr">
        <is>
          <t>Île-de-France</t>
        </is>
      </c>
      <c r="D1138" t="inlineStr">
        <is>
          <t>materiel</t>
        </is>
      </c>
      <c r="E1138" t="inlineStr">
        <is>
          <t>crédit-bail</t>
        </is>
      </c>
      <c r="F1138" t="inlineStr">
        <is>
          <t>2025-10-19</t>
        </is>
      </c>
      <c r="G1138" s="4" t="n">
        <v>140553.3</v>
      </c>
      <c r="H1138" s="4">
        <f>MAX(0,G1138-SUMIFS('Paiements contrat'!$B:$B,'Paiements contrat'!$A:$A,A1138))</f>
        <v/>
      </c>
      <c r="I1138" s="4" t="n">
        <v>112331.49</v>
      </c>
      <c r="J1138" t="inlineStr">
        <is>
          <t>actif</t>
        </is>
      </c>
    </row>
    <row r="1139">
      <c r="A1139" t="inlineStr">
        <is>
          <t>CTR-01162</t>
        </is>
      </c>
      <c r="B1139" t="inlineStr">
        <is>
          <t>CLI-00921</t>
        </is>
      </c>
      <c r="C1139" t="inlineStr">
        <is>
          <t>Île-de-France</t>
        </is>
      </c>
      <c r="D1139" t="inlineStr">
        <is>
          <t>materiel</t>
        </is>
      </c>
      <c r="E1139" t="inlineStr">
        <is>
          <t>crédit-bail</t>
        </is>
      </c>
      <c r="F1139" t="inlineStr">
        <is>
          <t>2025-07-10</t>
        </is>
      </c>
      <c r="G1139" s="4" t="n">
        <v>177879.4</v>
      </c>
      <c r="H1139" s="4">
        <f>MAX(0,G1139-SUMIFS('Paiements contrat'!$B:$B,'Paiements contrat'!$A:$A,A1139))</f>
        <v/>
      </c>
      <c r="I1139" s="4" t="n">
        <v>128951.06</v>
      </c>
      <c r="J1139" t="inlineStr">
        <is>
          <t>actif</t>
        </is>
      </c>
    </row>
    <row r="1140">
      <c r="A1140" t="inlineStr">
        <is>
          <t>CTR-01163</t>
        </is>
      </c>
      <c r="B1140" t="inlineStr">
        <is>
          <t>CLI-01255</t>
        </is>
      </c>
      <c r="C1140" t="inlineStr">
        <is>
          <t>Île-de-France</t>
        </is>
      </c>
      <c r="D1140" t="inlineStr">
        <is>
          <t>auto</t>
        </is>
      </c>
      <c r="E1140" t="inlineStr">
        <is>
          <t>LOA</t>
        </is>
      </c>
      <c r="F1140" t="inlineStr">
        <is>
          <t>2025-06-01</t>
        </is>
      </c>
      <c r="G1140" s="4" t="n">
        <v>69595.91</v>
      </c>
      <c r="H1140" s="4">
        <f>MAX(0,G1140-SUMIFS('Paiements contrat'!$B:$B,'Paiements contrat'!$A:$A,A1140))</f>
        <v/>
      </c>
      <c r="I1140" s="4" t="n">
        <v>52834.25</v>
      </c>
      <c r="J1140" t="inlineStr">
        <is>
          <t>actif</t>
        </is>
      </c>
    </row>
    <row r="1141">
      <c r="A1141" t="inlineStr">
        <is>
          <t>CTR-01164</t>
        </is>
      </c>
      <c r="B1141" t="inlineStr">
        <is>
          <t>CLI-00034</t>
        </is>
      </c>
      <c r="C1141" t="inlineStr">
        <is>
          <t>Île-de-France</t>
        </is>
      </c>
      <c r="D1141" t="inlineStr">
        <is>
          <t>bateau</t>
        </is>
      </c>
      <c r="E1141" t="inlineStr">
        <is>
          <t>LOA</t>
        </is>
      </c>
      <c r="F1141" t="inlineStr">
        <is>
          <t>2024-05-07</t>
        </is>
      </c>
      <c r="G1141" s="4" t="n">
        <v>179807.88</v>
      </c>
      <c r="H1141" s="4">
        <f>MAX(0,G1141-SUMIFS('Paiements contrat'!$B:$B,'Paiements contrat'!$A:$A,A1141))</f>
        <v/>
      </c>
      <c r="I1141" s="4" t="n">
        <v>85360.23249144723</v>
      </c>
      <c r="J1141" t="inlineStr">
        <is>
          <t>actif</t>
        </is>
      </c>
    </row>
    <row r="1142">
      <c r="A1142" t="inlineStr">
        <is>
          <t>CTR-01165</t>
        </is>
      </c>
      <c r="B1142" t="inlineStr">
        <is>
          <t>CLI-00538</t>
        </is>
      </c>
      <c r="C1142" t="inlineStr">
        <is>
          <t>Île-de-France</t>
        </is>
      </c>
      <c r="D1142" t="inlineStr">
        <is>
          <t>auto</t>
        </is>
      </c>
      <c r="E1142" t="inlineStr">
        <is>
          <t>LOA</t>
        </is>
      </c>
      <c r="F1142" t="inlineStr">
        <is>
          <t>2024-11-05</t>
        </is>
      </c>
      <c r="G1142" s="4" t="n">
        <v>46724.37</v>
      </c>
      <c r="H1142" s="4">
        <f>MAX(0,G1142-SUMIFS('Paiements contrat'!$B:$B,'Paiements contrat'!$A:$A,A1142))</f>
        <v/>
      </c>
      <c r="I1142" s="4" t="n">
        <v>38269.93879514994</v>
      </c>
      <c r="J1142" t="inlineStr">
        <is>
          <t>actif</t>
        </is>
      </c>
    </row>
    <row r="1143">
      <c r="A1143" t="inlineStr">
        <is>
          <t>CTR-01166</t>
        </is>
      </c>
      <c r="B1143" t="inlineStr">
        <is>
          <t>CLI-00642</t>
        </is>
      </c>
      <c r="C1143" t="inlineStr">
        <is>
          <t>Île-de-France</t>
        </is>
      </c>
      <c r="D1143" t="inlineStr">
        <is>
          <t>materiel</t>
        </is>
      </c>
      <c r="E1143" t="inlineStr">
        <is>
          <t>crédit-bail</t>
        </is>
      </c>
      <c r="F1143" t="inlineStr">
        <is>
          <t>2024-12-22</t>
        </is>
      </c>
      <c r="G1143" s="4" t="n">
        <v>105841.7</v>
      </c>
      <c r="H1143" s="4">
        <f>MAX(0,G1143-SUMIFS('Paiements contrat'!$B:$B,'Paiements contrat'!$A:$A,A1143))</f>
        <v/>
      </c>
      <c r="I1143" s="4" t="n">
        <v>64456</v>
      </c>
      <c r="J1143" t="inlineStr">
        <is>
          <t>actif</t>
        </is>
      </c>
    </row>
    <row r="1144">
      <c r="A1144" t="inlineStr">
        <is>
          <t>CTR-01167</t>
        </is>
      </c>
      <c r="B1144" t="inlineStr">
        <is>
          <t>CLI-01080</t>
        </is>
      </c>
      <c r="C1144" t="inlineStr">
        <is>
          <t>Île-de-France</t>
        </is>
      </c>
      <c r="D1144" t="inlineStr">
        <is>
          <t>auto</t>
        </is>
      </c>
      <c r="E1144" t="inlineStr">
        <is>
          <t>LOA</t>
        </is>
      </c>
      <c r="F1144" t="inlineStr">
        <is>
          <t>2025-08-25</t>
        </is>
      </c>
      <c r="G1144" s="4" t="n">
        <v>26238.84</v>
      </c>
      <c r="H1144" s="4">
        <f>MAX(0,G1144-SUMIFS('Paiements contrat'!$B:$B,'Paiements contrat'!$A:$A,A1144))</f>
        <v/>
      </c>
      <c r="I1144" s="4" t="n">
        <v>21298.18</v>
      </c>
      <c r="J1144" t="inlineStr">
        <is>
          <t>actif</t>
        </is>
      </c>
    </row>
    <row r="1145">
      <c r="A1145" t="inlineStr">
        <is>
          <t>CTR-01168</t>
        </is>
      </c>
      <c r="B1145" t="inlineStr">
        <is>
          <t>CLI-01257</t>
        </is>
      </c>
      <c r="C1145" t="inlineStr">
        <is>
          <t>Martinique</t>
        </is>
      </c>
      <c r="D1145" t="inlineStr">
        <is>
          <t>auto</t>
        </is>
      </c>
      <c r="E1145" t="inlineStr">
        <is>
          <t>LOA</t>
        </is>
      </c>
      <c r="F1145" t="inlineStr">
        <is>
          <t>2025-08-05</t>
        </is>
      </c>
      <c r="G1145" s="4" t="n">
        <v>13712.09</v>
      </c>
      <c r="H1145" s="4">
        <f>MAX(0,G1145-SUMIFS('Paiements contrat'!$B:$B,'Paiements contrat'!$A:$A,A1145))</f>
        <v/>
      </c>
      <c r="I1145" s="4" t="n">
        <v>8554</v>
      </c>
      <c r="J1145" t="inlineStr">
        <is>
          <t>actif</t>
        </is>
      </c>
    </row>
    <row r="1146">
      <c r="A1146" t="inlineStr">
        <is>
          <t>CTR-01169</t>
        </is>
      </c>
      <c r="B1146" t="inlineStr">
        <is>
          <t>CLI-00131</t>
        </is>
      </c>
      <c r="C1146" t="inlineStr">
        <is>
          <t>Île-de-France</t>
        </is>
      </c>
      <c r="D1146" t="inlineStr">
        <is>
          <t>materiel</t>
        </is>
      </c>
      <c r="E1146" t="inlineStr">
        <is>
          <t>crédit-bail</t>
        </is>
      </c>
      <c r="F1146" t="inlineStr">
        <is>
          <t>2026-02-11</t>
        </is>
      </c>
      <c r="G1146" s="4" t="n">
        <v>53445.26</v>
      </c>
      <c r="H1146" s="4">
        <f>MAX(0,G1146-SUMIFS('Paiements contrat'!$B:$B,'Paiements contrat'!$A:$A,A1146))</f>
        <v/>
      </c>
      <c r="I1146" s="4" t="n">
        <v>52451.58</v>
      </c>
      <c r="J1146" t="inlineStr">
        <is>
          <t>actif</t>
        </is>
      </c>
    </row>
    <row r="1147">
      <c r="A1147" t="inlineStr">
        <is>
          <t>CTR-01170</t>
        </is>
      </c>
      <c r="B1147" t="inlineStr">
        <is>
          <t>CLI-01493</t>
        </is>
      </c>
      <c r="C1147" t="inlineStr">
        <is>
          <t>Guyane</t>
        </is>
      </c>
      <c r="D1147" t="inlineStr">
        <is>
          <t>materiel</t>
        </is>
      </c>
      <c r="E1147" t="inlineStr">
        <is>
          <t>crédit-bail</t>
        </is>
      </c>
      <c r="F1147" t="inlineStr">
        <is>
          <t>2025-12-11</t>
        </is>
      </c>
      <c r="G1147" s="4" t="n">
        <v>95303.91</v>
      </c>
      <c r="H1147" s="4">
        <f>MAX(0,G1147-SUMIFS('Paiements contrat'!$B:$B,'Paiements contrat'!$A:$A,A1147))</f>
        <v/>
      </c>
      <c r="I1147" s="4" t="n">
        <v>87735.55</v>
      </c>
      <c r="J1147" t="inlineStr">
        <is>
          <t>actif</t>
        </is>
      </c>
    </row>
    <row r="1148">
      <c r="A1148" t="inlineStr">
        <is>
          <t>CTR-01171</t>
        </is>
      </c>
      <c r="B1148" t="inlineStr">
        <is>
          <t>CLI-00564</t>
        </is>
      </c>
      <c r="C1148" t="inlineStr">
        <is>
          <t>Île-de-France</t>
        </is>
      </c>
      <c r="D1148" t="inlineStr">
        <is>
          <t>bateau</t>
        </is>
      </c>
      <c r="E1148" t="inlineStr">
        <is>
          <t>LOA</t>
        </is>
      </c>
      <c r="F1148" t="inlineStr">
        <is>
          <t>2024-04-16</t>
        </is>
      </c>
      <c r="G1148" s="4" t="n">
        <v>145816.99</v>
      </c>
      <c r="H1148" s="4">
        <f>MAX(0,G1148-SUMIFS('Paiements contrat'!$B:$B,'Paiements contrat'!$A:$A,A1148))</f>
        <v/>
      </c>
      <c r="I1148" s="4" t="n">
        <v>68454.63895867212</v>
      </c>
      <c r="J1148" t="inlineStr">
        <is>
          <t>actif</t>
        </is>
      </c>
    </row>
    <row r="1149">
      <c r="A1149" t="inlineStr">
        <is>
          <t>CTR-01172</t>
        </is>
      </c>
      <c r="B1149" t="inlineStr">
        <is>
          <t>CLI-01256</t>
        </is>
      </c>
      <c r="C1149" t="inlineStr">
        <is>
          <t>Réunion</t>
        </is>
      </c>
      <c r="D1149" t="inlineStr">
        <is>
          <t>auto</t>
        </is>
      </c>
      <c r="E1149" t="inlineStr">
        <is>
          <t>LOA</t>
        </is>
      </c>
      <c r="F1149" t="inlineStr">
        <is>
          <t>2024-07-22</t>
        </is>
      </c>
      <c r="G1149" s="4" t="n">
        <v>57391.05</v>
      </c>
      <c r="H1149" s="4">
        <f>MAX(0,G1149-SUMIFS('Paiements contrat'!$B:$B,'Paiements contrat'!$A:$A,A1149))</f>
        <v/>
      </c>
      <c r="I1149" s="4" t="n">
        <v>38022.45</v>
      </c>
      <c r="J1149" t="inlineStr">
        <is>
          <t>actif</t>
        </is>
      </c>
    </row>
    <row r="1150">
      <c r="A1150" t="inlineStr">
        <is>
          <t>CTR-01173</t>
        </is>
      </c>
      <c r="B1150" t="inlineStr">
        <is>
          <t>CLI-00368</t>
        </is>
      </c>
      <c r="C1150" t="inlineStr">
        <is>
          <t>Île-de-France</t>
        </is>
      </c>
      <c r="D1150" t="inlineStr">
        <is>
          <t>materiel</t>
        </is>
      </c>
      <c r="E1150" t="inlineStr">
        <is>
          <t>crédit-bail</t>
        </is>
      </c>
      <c r="F1150" t="inlineStr">
        <is>
          <t>2024-11-04</t>
        </is>
      </c>
      <c r="G1150" s="4" t="n">
        <v>80057.42999999999</v>
      </c>
      <c r="H1150" s="4">
        <f>MAX(0,G1150-SUMIFS('Paiements contrat'!$B:$B,'Paiements contrat'!$A:$A,A1150))</f>
        <v/>
      </c>
      <c r="I1150" s="4" t="n">
        <v>39367.69</v>
      </c>
      <c r="J1150" t="inlineStr">
        <is>
          <t>actif</t>
        </is>
      </c>
    </row>
    <row r="1151">
      <c r="A1151" t="inlineStr">
        <is>
          <t>CTR-01174</t>
        </is>
      </c>
      <c r="B1151" t="inlineStr">
        <is>
          <t>CLI-00368</t>
        </is>
      </c>
      <c r="C1151" t="inlineStr">
        <is>
          <t>Île-de-France</t>
        </is>
      </c>
      <c r="D1151" t="inlineStr">
        <is>
          <t>materiel</t>
        </is>
      </c>
      <c r="E1151" t="inlineStr">
        <is>
          <t>crédit-bail</t>
        </is>
      </c>
      <c r="F1151" t="inlineStr">
        <is>
          <t>2024-08-15</t>
        </is>
      </c>
      <c r="G1151" s="4" t="n">
        <v>47953.11</v>
      </c>
      <c r="H1151" s="4">
        <f>MAX(0,G1151-SUMIFS('Paiements contrat'!$B:$B,'Paiements contrat'!$A:$A,A1151))</f>
        <v/>
      </c>
      <c r="I1151" s="4" t="n">
        <v>13103.28796204609</v>
      </c>
      <c r="J1151" t="inlineStr">
        <is>
          <t>actif</t>
        </is>
      </c>
    </row>
    <row r="1152">
      <c r="A1152" t="inlineStr">
        <is>
          <t>CTR-01175</t>
        </is>
      </c>
      <c r="B1152" t="inlineStr">
        <is>
          <t>CLI-00301</t>
        </is>
      </c>
      <c r="C1152" t="inlineStr">
        <is>
          <t>Guadeloupe</t>
        </is>
      </c>
      <c r="D1152" t="inlineStr">
        <is>
          <t>auto</t>
        </is>
      </c>
      <c r="E1152" t="inlineStr">
        <is>
          <t>LOA</t>
        </is>
      </c>
      <c r="F1152" t="inlineStr">
        <is>
          <t>2025-01-07</t>
        </is>
      </c>
      <c r="G1152" s="4" t="n">
        <v>52044.94</v>
      </c>
      <c r="H1152" s="4">
        <f>MAX(0,G1152-SUMIFS('Paiements contrat'!$B:$B,'Paiements contrat'!$A:$A,A1152))</f>
        <v/>
      </c>
      <c r="I1152" s="4" t="n">
        <v>28548.34</v>
      </c>
      <c r="J1152" t="inlineStr">
        <is>
          <t>actif</t>
        </is>
      </c>
    </row>
    <row r="1153">
      <c r="A1153" t="inlineStr">
        <is>
          <t>CTR-01176</t>
        </is>
      </c>
      <c r="B1153" t="inlineStr">
        <is>
          <t>CLI-01335</t>
        </is>
      </c>
      <c r="C1153" t="inlineStr">
        <is>
          <t>Île-de-France</t>
        </is>
      </c>
      <c r="D1153" t="inlineStr">
        <is>
          <t>materiel</t>
        </is>
      </c>
      <c r="E1153" t="inlineStr">
        <is>
          <t>crédit-bail</t>
        </is>
      </c>
      <c r="F1153" t="inlineStr">
        <is>
          <t>2025-04-13</t>
        </is>
      </c>
      <c r="G1153" s="4" t="n">
        <v>161048.01</v>
      </c>
      <c r="H1153" s="4">
        <f>MAX(0,G1153-SUMIFS('Paiements contrat'!$B:$B,'Paiements contrat'!$A:$A,A1153))</f>
        <v/>
      </c>
      <c r="I1153" s="4" t="n">
        <v>114903.16</v>
      </c>
      <c r="J1153" t="inlineStr">
        <is>
          <t>actif</t>
        </is>
      </c>
    </row>
    <row r="1154">
      <c r="A1154" t="inlineStr">
        <is>
          <t>CTR-01177</t>
        </is>
      </c>
      <c r="B1154" t="inlineStr">
        <is>
          <t>CLI-01419</t>
        </is>
      </c>
      <c r="C1154" t="inlineStr">
        <is>
          <t>Martinique</t>
        </is>
      </c>
      <c r="D1154" t="inlineStr">
        <is>
          <t>auto</t>
        </is>
      </c>
      <c r="E1154" t="inlineStr">
        <is>
          <t>LOA</t>
        </is>
      </c>
      <c r="F1154" t="inlineStr">
        <is>
          <t>2024-06-08</t>
        </is>
      </c>
      <c r="G1154" s="4" t="n">
        <v>20422.65</v>
      </c>
      <c r="H1154" s="4">
        <f>MAX(0,G1154-SUMIFS('Paiements contrat'!$B:$B,'Paiements contrat'!$A:$A,A1154))</f>
        <v/>
      </c>
      <c r="I1154" s="4" t="n">
        <v>10607.28</v>
      </c>
      <c r="J1154" t="inlineStr">
        <is>
          <t>actif</t>
        </is>
      </c>
    </row>
    <row r="1155">
      <c r="A1155" t="inlineStr">
        <is>
          <t>CTR-01178</t>
        </is>
      </c>
      <c r="B1155" t="inlineStr">
        <is>
          <t>CLI-01301</t>
        </is>
      </c>
      <c r="C1155" t="inlineStr">
        <is>
          <t>Martinique</t>
        </is>
      </c>
      <c r="D1155" t="inlineStr">
        <is>
          <t>auto</t>
        </is>
      </c>
      <c r="E1155" t="inlineStr">
        <is>
          <t>LLD</t>
        </is>
      </c>
      <c r="F1155" t="inlineStr">
        <is>
          <t>2024-09-03</t>
        </is>
      </c>
      <c r="G1155" s="4" t="n">
        <v>52179.24</v>
      </c>
      <c r="H1155" s="4">
        <f>MAX(0,G1155-SUMIFS('Paiements contrat'!$B:$B,'Paiements contrat'!$A:$A,A1155))</f>
        <v/>
      </c>
      <c r="I1155" s="4" t="n">
        <v>32566.64565861044</v>
      </c>
      <c r="J1155" t="inlineStr">
        <is>
          <t>actif</t>
        </is>
      </c>
    </row>
    <row r="1156">
      <c r="A1156" t="inlineStr">
        <is>
          <t>CTR-01179</t>
        </is>
      </c>
      <c r="B1156" t="inlineStr">
        <is>
          <t>CLI-00572</t>
        </is>
      </c>
      <c r="C1156" t="inlineStr">
        <is>
          <t>Île-de-France</t>
        </is>
      </c>
      <c r="D1156" t="inlineStr">
        <is>
          <t>auto</t>
        </is>
      </c>
      <c r="E1156" t="inlineStr">
        <is>
          <t>LOA</t>
        </is>
      </c>
      <c r="F1156" t="inlineStr">
        <is>
          <t>2026-01-09</t>
        </is>
      </c>
      <c r="G1156" s="4" t="n">
        <v>25412.47</v>
      </c>
      <c r="H1156" s="4">
        <f>MAX(0,G1156-SUMIFS('Paiements contrat'!$B:$B,'Paiements contrat'!$A:$A,A1156))</f>
        <v/>
      </c>
      <c r="I1156" s="4" t="n">
        <v>24759.06</v>
      </c>
      <c r="J1156" t="inlineStr">
        <is>
          <t>actif</t>
        </is>
      </c>
    </row>
    <row r="1157">
      <c r="A1157" t="inlineStr">
        <is>
          <t>CTR-01180</t>
        </is>
      </c>
      <c r="B1157" t="inlineStr">
        <is>
          <t>CLI-01221</t>
        </is>
      </c>
      <c r="C1157" t="inlineStr">
        <is>
          <t>Guyane</t>
        </is>
      </c>
      <c r="D1157" t="inlineStr">
        <is>
          <t>auto</t>
        </is>
      </c>
      <c r="E1157" t="inlineStr">
        <is>
          <t>LOA</t>
        </is>
      </c>
      <c r="F1157" t="inlineStr">
        <is>
          <t>2024-11-21</t>
        </is>
      </c>
      <c r="G1157" s="4" t="n">
        <v>53110.6</v>
      </c>
      <c r="H1157" s="4">
        <f>MAX(0,G1157-SUMIFS('Paiements contrat'!$B:$B,'Paiements contrat'!$A:$A,A1157))</f>
        <v/>
      </c>
      <c r="I1157" s="4" t="n">
        <v>38370.5</v>
      </c>
      <c r="J1157" t="inlineStr">
        <is>
          <t>actif</t>
        </is>
      </c>
    </row>
    <row r="1158">
      <c r="A1158" t="inlineStr">
        <is>
          <t>CTR-01181</t>
        </is>
      </c>
      <c r="B1158" t="inlineStr">
        <is>
          <t>CLI-00277</t>
        </is>
      </c>
      <c r="C1158" t="inlineStr">
        <is>
          <t>Île-de-France</t>
        </is>
      </c>
      <c r="D1158" t="inlineStr">
        <is>
          <t>auto</t>
        </is>
      </c>
      <c r="E1158" t="inlineStr">
        <is>
          <t>LLD</t>
        </is>
      </c>
      <c r="F1158" t="inlineStr">
        <is>
          <t>2025-12-15</t>
        </is>
      </c>
      <c r="G1158" s="4" t="n">
        <v>42282.69</v>
      </c>
      <c r="H1158" s="4">
        <f>MAX(0,G1158-SUMIFS('Paiements contrat'!$B:$B,'Paiements contrat'!$A:$A,A1158))</f>
        <v/>
      </c>
      <c r="I1158" s="4" t="n">
        <v>38929.43</v>
      </c>
      <c r="J1158" t="inlineStr">
        <is>
          <t>actif</t>
        </is>
      </c>
    </row>
    <row r="1159">
      <c r="A1159" t="inlineStr">
        <is>
          <t>CTR-01182</t>
        </is>
      </c>
      <c r="B1159" t="inlineStr">
        <is>
          <t>CLI-00068</t>
        </is>
      </c>
      <c r="C1159" t="inlineStr">
        <is>
          <t>Île-de-France</t>
        </is>
      </c>
      <c r="D1159" t="inlineStr">
        <is>
          <t>auto</t>
        </is>
      </c>
      <c r="E1159" t="inlineStr">
        <is>
          <t>LLD</t>
        </is>
      </c>
      <c r="F1159" t="inlineStr">
        <is>
          <t>2026-03-08</t>
        </is>
      </c>
      <c r="G1159" s="4" t="n">
        <v>14885.99</v>
      </c>
      <c r="H1159" s="4">
        <f>MAX(0,G1159-SUMIFS('Paiements contrat'!$B:$B,'Paiements contrat'!$A:$A,A1159))</f>
        <v/>
      </c>
      <c r="I1159" s="4" t="n">
        <v>14885.99</v>
      </c>
      <c r="J1159" t="inlineStr">
        <is>
          <t>actif</t>
        </is>
      </c>
    </row>
    <row r="1160">
      <c r="A1160" t="inlineStr">
        <is>
          <t>CTR-01183</t>
        </is>
      </c>
      <c r="B1160" t="inlineStr">
        <is>
          <t>CLI-00343</t>
        </is>
      </c>
      <c r="C1160" t="inlineStr">
        <is>
          <t>Île-de-France</t>
        </is>
      </c>
      <c r="D1160" t="inlineStr">
        <is>
          <t>auto</t>
        </is>
      </c>
      <c r="E1160" t="inlineStr">
        <is>
          <t>LOA</t>
        </is>
      </c>
      <c r="F1160" t="inlineStr">
        <is>
          <t>2025-11-23</t>
        </is>
      </c>
      <c r="G1160" s="4" t="n">
        <v>24708.91</v>
      </c>
      <c r="H1160" s="4">
        <f>MAX(0,G1160-SUMIFS('Paiements contrat'!$B:$B,'Paiements contrat'!$A:$A,A1160))</f>
        <v/>
      </c>
      <c r="I1160" s="4" t="n">
        <v>19313.93</v>
      </c>
      <c r="J1160" t="inlineStr">
        <is>
          <t>actif</t>
        </is>
      </c>
    </row>
    <row r="1161">
      <c r="A1161" t="inlineStr">
        <is>
          <t>CTR-01184</t>
        </is>
      </c>
      <c r="B1161" t="inlineStr">
        <is>
          <t>CLI-00724</t>
        </is>
      </c>
      <c r="C1161" t="inlineStr">
        <is>
          <t>Guadeloupe</t>
        </is>
      </c>
      <c r="D1161" t="inlineStr">
        <is>
          <t>materiel</t>
        </is>
      </c>
      <c r="E1161" t="inlineStr">
        <is>
          <t>crédit-bail</t>
        </is>
      </c>
      <c r="F1161" t="inlineStr">
        <is>
          <t>2024-06-25</t>
        </is>
      </c>
      <c r="G1161" s="4" t="n">
        <v>169345.92</v>
      </c>
      <c r="H1161" s="4">
        <f>MAX(0,G1161-SUMIFS('Paiements contrat'!$B:$B,'Paiements contrat'!$A:$A,A1161))</f>
        <v/>
      </c>
      <c r="I1161" s="4" t="n">
        <v>92022.10610584241</v>
      </c>
      <c r="J1161" t="inlineStr">
        <is>
          <t>actif</t>
        </is>
      </c>
    </row>
    <row r="1162">
      <c r="A1162" t="inlineStr">
        <is>
          <t>CTR-01185</t>
        </is>
      </c>
      <c r="B1162" t="inlineStr">
        <is>
          <t>CLI-00784</t>
        </is>
      </c>
      <c r="C1162" t="inlineStr">
        <is>
          <t>Île-de-France</t>
        </is>
      </c>
      <c r="D1162" t="inlineStr">
        <is>
          <t>auto</t>
        </is>
      </c>
      <c r="E1162" t="inlineStr">
        <is>
          <t>LOA</t>
        </is>
      </c>
      <c r="F1162" t="inlineStr">
        <is>
          <t>2026-02-05</t>
        </is>
      </c>
      <c r="G1162" s="4" t="n">
        <v>57906.27</v>
      </c>
      <c r="H1162" s="4">
        <f>MAX(0,G1162-SUMIFS('Paiements contrat'!$B:$B,'Paiements contrat'!$A:$A,A1162))</f>
        <v/>
      </c>
      <c r="I1162" s="4" t="n">
        <v>56431.74</v>
      </c>
      <c r="J1162" t="inlineStr">
        <is>
          <t>actif</t>
        </is>
      </c>
    </row>
    <row r="1163">
      <c r="A1163" t="inlineStr">
        <is>
          <t>CTR-01186</t>
        </is>
      </c>
      <c r="B1163" t="inlineStr">
        <is>
          <t>CLI-00972</t>
        </is>
      </c>
      <c r="C1163" t="inlineStr">
        <is>
          <t>Île-de-France</t>
        </is>
      </c>
      <c r="D1163" t="inlineStr">
        <is>
          <t>auto</t>
        </is>
      </c>
      <c r="E1163" t="inlineStr">
        <is>
          <t>LLD</t>
        </is>
      </c>
      <c r="F1163" t="inlineStr">
        <is>
          <t>2025-04-18</t>
        </is>
      </c>
      <c r="G1163" s="4" t="n">
        <v>40589.28</v>
      </c>
      <c r="H1163" s="4">
        <f>MAX(0,G1163-SUMIFS('Paiements contrat'!$B:$B,'Paiements contrat'!$A:$A,A1163))</f>
        <v/>
      </c>
      <c r="I1163" s="4" t="n">
        <v>26302.67</v>
      </c>
      <c r="J1163" t="inlineStr">
        <is>
          <t>actif</t>
        </is>
      </c>
    </row>
    <row r="1164">
      <c r="A1164" t="inlineStr">
        <is>
          <t>CTR-01187</t>
        </is>
      </c>
      <c r="B1164" t="inlineStr">
        <is>
          <t>CLI-00764</t>
        </is>
      </c>
      <c r="C1164" t="inlineStr">
        <is>
          <t>Île-de-France</t>
        </is>
      </c>
      <c r="D1164" t="inlineStr">
        <is>
          <t>materiel</t>
        </is>
      </c>
      <c r="E1164" t="inlineStr">
        <is>
          <t>crédit-bail</t>
        </is>
      </c>
      <c r="F1164" t="inlineStr">
        <is>
          <t>2025-02-08</t>
        </is>
      </c>
      <c r="G1164" s="4" t="n">
        <v>122382.44</v>
      </c>
      <c r="H1164" s="4">
        <f>MAX(0,G1164-SUMIFS('Paiements contrat'!$B:$B,'Paiements contrat'!$A:$A,A1164))</f>
        <v/>
      </c>
      <c r="I1164" s="4" t="n">
        <v>83013.77</v>
      </c>
      <c r="J1164" t="inlineStr">
        <is>
          <t>actif</t>
        </is>
      </c>
    </row>
    <row r="1165">
      <c r="A1165" t="inlineStr">
        <is>
          <t>CTR-01188</t>
        </is>
      </c>
      <c r="B1165" t="inlineStr">
        <is>
          <t>CLI-00672</t>
        </is>
      </c>
      <c r="C1165" t="inlineStr">
        <is>
          <t>Île-de-France</t>
        </is>
      </c>
      <c r="D1165" t="inlineStr">
        <is>
          <t>auto</t>
        </is>
      </c>
      <c r="E1165" t="inlineStr">
        <is>
          <t>LOA</t>
        </is>
      </c>
      <c r="F1165" t="inlineStr">
        <is>
          <t>2024-11-24</t>
        </is>
      </c>
      <c r="G1165" s="4" t="n">
        <v>47789.05</v>
      </c>
      <c r="H1165" s="4">
        <f>MAX(0,G1165-SUMIFS('Paiements contrat'!$B:$B,'Paiements contrat'!$A:$A,A1165))</f>
        <v/>
      </c>
      <c r="I1165" s="4" t="n">
        <v>28806.43</v>
      </c>
      <c r="J1165" t="inlineStr">
        <is>
          <t>actif</t>
        </is>
      </c>
    </row>
    <row r="1166">
      <c r="A1166" t="inlineStr">
        <is>
          <t>CTR-01189</t>
        </is>
      </c>
      <c r="B1166" t="inlineStr">
        <is>
          <t>CLI-00807</t>
        </is>
      </c>
      <c r="C1166" t="inlineStr">
        <is>
          <t>Île-de-France</t>
        </is>
      </c>
      <c r="D1166" t="inlineStr">
        <is>
          <t>auto</t>
        </is>
      </c>
      <c r="E1166" t="inlineStr">
        <is>
          <t>LOA</t>
        </is>
      </c>
      <c r="F1166" t="inlineStr">
        <is>
          <t>2024-10-09</t>
        </is>
      </c>
      <c r="G1166" s="4" t="n">
        <v>29834.34</v>
      </c>
      <c r="H1166" s="4">
        <f>MAX(0,G1166-SUMIFS('Paiements contrat'!$B:$B,'Paiements contrat'!$A:$A,A1166))</f>
        <v/>
      </c>
      <c r="I1166" s="4" t="n">
        <v>11673.1</v>
      </c>
      <c r="J1166" t="inlineStr">
        <is>
          <t>actif</t>
        </is>
      </c>
    </row>
    <row r="1167">
      <c r="A1167" t="inlineStr">
        <is>
          <t>CTR-01190</t>
        </is>
      </c>
      <c r="B1167" t="inlineStr">
        <is>
          <t>CLI-00800</t>
        </is>
      </c>
      <c r="C1167" t="inlineStr">
        <is>
          <t>Île-de-France</t>
        </is>
      </c>
      <c r="D1167" t="inlineStr">
        <is>
          <t>materiel</t>
        </is>
      </c>
      <c r="E1167" t="inlineStr">
        <is>
          <t>crédit-bail</t>
        </is>
      </c>
      <c r="F1167" t="inlineStr">
        <is>
          <t>2025-08-16</t>
        </is>
      </c>
      <c r="G1167" s="4" t="n">
        <v>109203.72</v>
      </c>
      <c r="H1167" s="4">
        <f>MAX(0,G1167-SUMIFS('Paiements contrat'!$B:$B,'Paiements contrat'!$A:$A,A1167))</f>
        <v/>
      </c>
      <c r="I1167" s="4" t="n">
        <v>89930.53</v>
      </c>
      <c r="J1167" t="inlineStr">
        <is>
          <t>actif</t>
        </is>
      </c>
    </row>
    <row r="1168">
      <c r="A1168" t="inlineStr">
        <is>
          <t>CTR-01191</t>
        </is>
      </c>
      <c r="B1168" t="inlineStr">
        <is>
          <t>CLI-00957</t>
        </is>
      </c>
      <c r="C1168" t="inlineStr">
        <is>
          <t>Guadeloupe</t>
        </is>
      </c>
      <c r="D1168" t="inlineStr">
        <is>
          <t>auto</t>
        </is>
      </c>
      <c r="E1168" t="inlineStr">
        <is>
          <t>LOA</t>
        </is>
      </c>
      <c r="F1168" t="inlineStr">
        <is>
          <t>2024-06-27</t>
        </is>
      </c>
      <c r="G1168" s="4" t="n">
        <v>38262.06</v>
      </c>
      <c r="H1168" s="4">
        <f>MAX(0,G1168-SUMIFS('Paiements contrat'!$B:$B,'Paiements contrat'!$A:$A,A1168))</f>
        <v/>
      </c>
      <c r="I1168" s="4" t="n">
        <v>17895.44</v>
      </c>
      <c r="J1168" t="inlineStr">
        <is>
          <t>actif</t>
        </is>
      </c>
    </row>
    <row r="1169">
      <c r="A1169" t="inlineStr">
        <is>
          <t>CTR-01192</t>
        </is>
      </c>
      <c r="B1169" t="inlineStr">
        <is>
          <t>CLI-00466</t>
        </is>
      </c>
      <c r="C1169" t="inlineStr">
        <is>
          <t>Île-de-France</t>
        </is>
      </c>
      <c r="D1169" t="inlineStr">
        <is>
          <t>materiel</t>
        </is>
      </c>
      <c r="E1169" t="inlineStr">
        <is>
          <t>crédit-bail</t>
        </is>
      </c>
      <c r="F1169" t="inlineStr">
        <is>
          <t>2026-01-02</t>
        </is>
      </c>
      <c r="G1169" s="4" t="n">
        <v>131691.88</v>
      </c>
      <c r="H1169" s="4">
        <f>MAX(0,G1169-SUMIFS('Paiements contrat'!$B:$B,'Paiements contrat'!$A:$A,A1169))</f>
        <v/>
      </c>
      <c r="I1169" s="4" t="n">
        <v>127614.37</v>
      </c>
      <c r="J1169" t="inlineStr">
        <is>
          <t>actif</t>
        </is>
      </c>
    </row>
    <row r="1170">
      <c r="A1170" t="inlineStr">
        <is>
          <t>CTR-01193</t>
        </is>
      </c>
      <c r="B1170" t="inlineStr">
        <is>
          <t>CLI-01205</t>
        </is>
      </c>
      <c r="C1170" t="inlineStr">
        <is>
          <t>Île-de-France</t>
        </is>
      </c>
      <c r="D1170" t="inlineStr">
        <is>
          <t>auto</t>
        </is>
      </c>
      <c r="E1170" t="inlineStr">
        <is>
          <t>LOA</t>
        </is>
      </c>
      <c r="F1170" t="inlineStr">
        <is>
          <t>2024-12-18</t>
        </is>
      </c>
      <c r="G1170" s="4" t="n">
        <v>38904.1</v>
      </c>
      <c r="H1170" s="4">
        <f>MAX(0,G1170-SUMIFS('Paiements contrat'!$B:$B,'Paiements contrat'!$A:$A,A1170))</f>
        <v/>
      </c>
      <c r="I1170" s="4" t="n">
        <v>16873.84</v>
      </c>
      <c r="J1170" t="inlineStr">
        <is>
          <t>actif</t>
        </is>
      </c>
    </row>
    <row r="1171">
      <c r="A1171" t="inlineStr">
        <is>
          <t>CTR-01194</t>
        </is>
      </c>
      <c r="B1171" t="inlineStr">
        <is>
          <t>CLI-01381</t>
        </is>
      </c>
      <c r="C1171" t="inlineStr">
        <is>
          <t>Réunion</t>
        </is>
      </c>
      <c r="D1171" t="inlineStr">
        <is>
          <t>auto</t>
        </is>
      </c>
      <c r="E1171" t="inlineStr">
        <is>
          <t>LLD</t>
        </is>
      </c>
      <c r="F1171" t="inlineStr">
        <is>
          <t>2026-03-22</t>
        </is>
      </c>
      <c r="G1171" s="4" t="n">
        <v>63713.69</v>
      </c>
      <c r="H1171" s="4">
        <f>MAX(0,G1171-SUMIFS('Paiements contrat'!$B:$B,'Paiements contrat'!$A:$A,A1171))</f>
        <v/>
      </c>
      <c r="I1171" s="4" t="n">
        <v>63713.69</v>
      </c>
      <c r="J1171" t="inlineStr">
        <is>
          <t>actif</t>
        </is>
      </c>
    </row>
    <row r="1172">
      <c r="A1172" t="inlineStr">
        <is>
          <t>CTR-01195</t>
        </is>
      </c>
      <c r="B1172" t="inlineStr">
        <is>
          <t>CLI-01009</t>
        </is>
      </c>
      <c r="C1172" t="inlineStr">
        <is>
          <t>Réunion</t>
        </is>
      </c>
      <c r="D1172" t="inlineStr">
        <is>
          <t>auto</t>
        </is>
      </c>
      <c r="E1172" t="inlineStr">
        <is>
          <t>LOA</t>
        </is>
      </c>
      <c r="F1172" t="inlineStr">
        <is>
          <t>2024-11-27</t>
        </is>
      </c>
      <c r="G1172" s="4" t="n">
        <v>36287.45</v>
      </c>
      <c r="H1172" s="4">
        <f>MAX(0,G1172-SUMIFS('Paiements contrat'!$B:$B,'Paiements contrat'!$A:$A,A1172))</f>
        <v/>
      </c>
      <c r="I1172" s="4" t="n">
        <v>25429.01318444607</v>
      </c>
      <c r="J1172" t="inlineStr">
        <is>
          <t>actif</t>
        </is>
      </c>
    </row>
    <row r="1173">
      <c r="A1173" t="inlineStr">
        <is>
          <t>CTR-01196</t>
        </is>
      </c>
      <c r="B1173" t="inlineStr">
        <is>
          <t>CLI-00319</t>
        </is>
      </c>
      <c r="C1173" t="inlineStr">
        <is>
          <t>Île-de-France</t>
        </is>
      </c>
      <c r="D1173" t="inlineStr">
        <is>
          <t>materiel</t>
        </is>
      </c>
      <c r="E1173" t="inlineStr">
        <is>
          <t>crédit-bail</t>
        </is>
      </c>
      <c r="F1173" t="inlineStr">
        <is>
          <t>2025-08-08</t>
        </is>
      </c>
      <c r="G1173" s="4" t="n">
        <v>86758.28</v>
      </c>
      <c r="H1173" s="4">
        <f>MAX(0,G1173-SUMIFS('Paiements contrat'!$B:$B,'Paiements contrat'!$A:$A,A1173))</f>
        <v/>
      </c>
      <c r="I1173" s="4" t="n">
        <v>70505.7</v>
      </c>
      <c r="J1173" t="inlineStr">
        <is>
          <t>actif</t>
        </is>
      </c>
    </row>
    <row r="1174">
      <c r="A1174" t="inlineStr">
        <is>
          <t>CTR-01197</t>
        </is>
      </c>
      <c r="B1174" t="inlineStr">
        <is>
          <t>CLI-01218</t>
        </is>
      </c>
      <c r="C1174" t="inlineStr">
        <is>
          <t>Île-de-France</t>
        </is>
      </c>
      <c r="D1174" t="inlineStr">
        <is>
          <t>auto</t>
        </is>
      </c>
      <c r="E1174" t="inlineStr">
        <is>
          <t>LOA</t>
        </is>
      </c>
      <c r="F1174" t="inlineStr">
        <is>
          <t>2025-09-08</t>
        </is>
      </c>
      <c r="G1174" s="4" t="n">
        <v>43027.56</v>
      </c>
      <c r="H1174" s="4">
        <f>MAX(0,G1174-SUMIFS('Paiements contrat'!$B:$B,'Paiements contrat'!$A:$A,A1174))</f>
        <v/>
      </c>
      <c r="I1174" s="4" t="n">
        <v>32898.47</v>
      </c>
      <c r="J1174" t="inlineStr">
        <is>
          <t>actif</t>
        </is>
      </c>
    </row>
    <row r="1175">
      <c r="A1175" t="inlineStr">
        <is>
          <t>CTR-01198</t>
        </is>
      </c>
      <c r="B1175" t="inlineStr">
        <is>
          <t>CLI-01062</t>
        </is>
      </c>
      <c r="C1175" t="inlineStr">
        <is>
          <t>Île-de-France</t>
        </is>
      </c>
      <c r="D1175" t="inlineStr">
        <is>
          <t>auto</t>
        </is>
      </c>
      <c r="E1175" t="inlineStr">
        <is>
          <t>LOA</t>
        </is>
      </c>
      <c r="F1175" t="inlineStr">
        <is>
          <t>2026-02-11</t>
        </is>
      </c>
      <c r="G1175" s="4" t="n">
        <v>12186.04</v>
      </c>
      <c r="H1175" s="4">
        <f>MAX(0,G1175-SUMIFS('Paiements contrat'!$B:$B,'Paiements contrat'!$A:$A,A1175))</f>
        <v/>
      </c>
      <c r="I1175" s="4" t="n">
        <v>12186.04</v>
      </c>
      <c r="J1175" t="inlineStr">
        <is>
          <t>actif</t>
        </is>
      </c>
    </row>
    <row r="1176">
      <c r="A1176" t="inlineStr">
        <is>
          <t>CTR-01199</t>
        </is>
      </c>
      <c r="B1176" t="inlineStr">
        <is>
          <t>CLI-00883</t>
        </is>
      </c>
      <c r="C1176" t="inlineStr">
        <is>
          <t>Île-de-France</t>
        </is>
      </c>
      <c r="D1176" t="inlineStr">
        <is>
          <t>auto</t>
        </is>
      </c>
      <c r="E1176" t="inlineStr">
        <is>
          <t>LLD</t>
        </is>
      </c>
      <c r="F1176" t="inlineStr">
        <is>
          <t>2024-08-10</t>
        </is>
      </c>
      <c r="G1176" s="4" t="n">
        <v>37603.08</v>
      </c>
      <c r="H1176" s="4">
        <f>MAX(0,G1176-SUMIFS('Paiements contrat'!$B:$B,'Paiements contrat'!$A:$A,A1176))</f>
        <v/>
      </c>
      <c r="I1176" s="4" t="n">
        <v>0</v>
      </c>
      <c r="J1176" t="inlineStr">
        <is>
          <t>actif</t>
        </is>
      </c>
    </row>
    <row r="1177">
      <c r="A1177" t="inlineStr">
        <is>
          <t>CTR-01200</t>
        </is>
      </c>
      <c r="B1177" t="inlineStr">
        <is>
          <t>CLI-00911</t>
        </is>
      </c>
      <c r="C1177" t="inlineStr">
        <is>
          <t>Île-de-France</t>
        </is>
      </c>
      <c r="D1177" t="inlineStr">
        <is>
          <t>auto</t>
        </is>
      </c>
      <c r="E1177" t="inlineStr">
        <is>
          <t>LOA</t>
        </is>
      </c>
      <c r="F1177" t="inlineStr">
        <is>
          <t>2024-06-11</t>
        </is>
      </c>
      <c r="G1177" s="4" t="n">
        <v>11218.44</v>
      </c>
      <c r="H1177" s="4">
        <f>MAX(0,G1177-SUMIFS('Paiements contrat'!$B:$B,'Paiements contrat'!$A:$A,A1177))</f>
        <v/>
      </c>
      <c r="I1177" s="4" t="n">
        <v>1909.84</v>
      </c>
      <c r="J1177" t="inlineStr">
        <is>
          <t>actif</t>
        </is>
      </c>
    </row>
    <row r="1178">
      <c r="A1178" t="inlineStr">
        <is>
          <t>CTR-01201</t>
        </is>
      </c>
      <c r="B1178" t="inlineStr">
        <is>
          <t>CLI-00439</t>
        </is>
      </c>
      <c r="C1178" t="inlineStr">
        <is>
          <t>Île-de-France</t>
        </is>
      </c>
      <c r="D1178" t="inlineStr">
        <is>
          <t>bateau</t>
        </is>
      </c>
      <c r="E1178" t="inlineStr">
        <is>
          <t>LOA</t>
        </is>
      </c>
      <c r="F1178" t="inlineStr">
        <is>
          <t>2024-04-07</t>
        </is>
      </c>
      <c r="G1178" s="4" t="n">
        <v>126190.32</v>
      </c>
      <c r="H1178" s="4">
        <f>MAX(0,G1178-SUMIFS('Paiements contrat'!$B:$B,'Paiements contrat'!$A:$A,A1178))</f>
        <v/>
      </c>
      <c r="I1178" s="4" t="n">
        <v>48221.41519499356</v>
      </c>
      <c r="J1178" t="inlineStr">
        <is>
          <t>actif</t>
        </is>
      </c>
    </row>
    <row r="1179">
      <c r="A1179" t="inlineStr">
        <is>
          <t>CTR-01202</t>
        </is>
      </c>
      <c r="B1179" t="inlineStr">
        <is>
          <t>CLI-00878</t>
        </is>
      </c>
      <c r="C1179" t="inlineStr">
        <is>
          <t>Martinique</t>
        </is>
      </c>
      <c r="D1179" t="inlineStr">
        <is>
          <t>auto</t>
        </is>
      </c>
      <c r="E1179" t="inlineStr">
        <is>
          <t>LOA</t>
        </is>
      </c>
      <c r="F1179" t="inlineStr">
        <is>
          <t>2024-07-18</t>
        </is>
      </c>
      <c r="G1179" s="4" t="n">
        <v>9018.01</v>
      </c>
      <c r="H1179" s="4">
        <f>MAX(0,G1179-SUMIFS('Paiements contrat'!$B:$B,'Paiements contrat'!$A:$A,A1179))</f>
        <v/>
      </c>
      <c r="I1179" s="4" t="n">
        <v>4590.77</v>
      </c>
      <c r="J1179" t="inlineStr">
        <is>
          <t>actif</t>
        </is>
      </c>
    </row>
    <row r="1180">
      <c r="A1180" t="inlineStr">
        <is>
          <t>CTR-01203</t>
        </is>
      </c>
      <c r="B1180" t="inlineStr">
        <is>
          <t>CLI-00447</t>
        </is>
      </c>
      <c r="C1180" t="inlineStr">
        <is>
          <t>Martinique</t>
        </is>
      </c>
      <c r="D1180" t="inlineStr">
        <is>
          <t>bateau</t>
        </is>
      </c>
      <c r="E1180" t="inlineStr">
        <is>
          <t>LOA</t>
        </is>
      </c>
      <c r="F1180" t="inlineStr">
        <is>
          <t>2025-06-08</t>
        </is>
      </c>
      <c r="G1180" s="4" t="n">
        <v>230885.01</v>
      </c>
      <c r="H1180" s="4">
        <f>MAX(0,G1180-SUMIFS('Paiements contrat'!$B:$B,'Paiements contrat'!$A:$A,A1180))</f>
        <v/>
      </c>
      <c r="I1180" s="4" t="n">
        <v>123851.7542089763</v>
      </c>
      <c r="J1180" t="inlineStr">
        <is>
          <t>actif</t>
        </is>
      </c>
    </row>
    <row r="1181">
      <c r="A1181" t="inlineStr">
        <is>
          <t>CTR-01204</t>
        </is>
      </c>
      <c r="B1181" t="inlineStr">
        <is>
          <t>CLI-00634</t>
        </is>
      </c>
      <c r="C1181" t="inlineStr">
        <is>
          <t>Île-de-France</t>
        </is>
      </c>
      <c r="D1181" t="inlineStr">
        <is>
          <t>materiel</t>
        </is>
      </c>
      <c r="E1181" t="inlineStr">
        <is>
          <t>crédit-bail</t>
        </is>
      </c>
      <c r="F1181" t="inlineStr">
        <is>
          <t>2025-09-18</t>
        </is>
      </c>
      <c r="G1181" s="4" t="n">
        <v>90701.92999999999</v>
      </c>
      <c r="H1181" s="4">
        <f>MAX(0,G1181-SUMIFS('Paiements contrat'!$B:$B,'Paiements contrat'!$A:$A,A1181))</f>
        <v/>
      </c>
      <c r="I1181" s="4" t="n">
        <v>76164.81</v>
      </c>
      <c r="J1181" t="inlineStr">
        <is>
          <t>actif</t>
        </is>
      </c>
    </row>
    <row r="1182">
      <c r="A1182" t="inlineStr">
        <is>
          <t>CTR-01205</t>
        </is>
      </c>
      <c r="B1182" t="inlineStr">
        <is>
          <t>CLI-01211</t>
        </is>
      </c>
      <c r="C1182" t="inlineStr">
        <is>
          <t>Île-de-France</t>
        </is>
      </c>
      <c r="D1182" t="inlineStr">
        <is>
          <t>materiel</t>
        </is>
      </c>
      <c r="E1182" t="inlineStr">
        <is>
          <t>crédit-bail</t>
        </is>
      </c>
      <c r="F1182" t="inlineStr">
        <is>
          <t>2025-10-14</t>
        </is>
      </c>
      <c r="G1182" s="4" t="n">
        <v>152208.24</v>
      </c>
      <c r="H1182" s="4">
        <f>MAX(0,G1182-SUMIFS('Paiements contrat'!$B:$B,'Paiements contrat'!$A:$A,A1182))</f>
        <v/>
      </c>
      <c r="I1182" s="4" t="n">
        <v>131990.44</v>
      </c>
      <c r="J1182" t="inlineStr">
        <is>
          <t>actif</t>
        </is>
      </c>
    </row>
    <row r="1183">
      <c r="A1183" t="inlineStr">
        <is>
          <t>CTR-01206</t>
        </is>
      </c>
      <c r="B1183" t="inlineStr">
        <is>
          <t>CLI-01052</t>
        </is>
      </c>
      <c r="C1183" t="inlineStr">
        <is>
          <t>Île-de-France</t>
        </is>
      </c>
      <c r="D1183" t="inlineStr">
        <is>
          <t>materiel</t>
        </is>
      </c>
      <c r="E1183" t="inlineStr">
        <is>
          <t>crédit-bail</t>
        </is>
      </c>
      <c r="F1183" t="inlineStr">
        <is>
          <t>2025-01-21</t>
        </is>
      </c>
      <c r="G1183" s="4" t="n">
        <v>172998.37</v>
      </c>
      <c r="H1183" s="4">
        <f>MAX(0,G1183-SUMIFS('Paiements contrat'!$B:$B,'Paiements contrat'!$A:$A,A1183))</f>
        <v/>
      </c>
      <c r="I1183" s="4" t="n">
        <v>49393.70999999999</v>
      </c>
      <c r="J1183" t="inlineStr">
        <is>
          <t>actif</t>
        </is>
      </c>
    </row>
    <row r="1184">
      <c r="A1184" t="inlineStr">
        <is>
          <t>CTR-01207</t>
        </is>
      </c>
      <c r="B1184" t="inlineStr">
        <is>
          <t>CLI-00203</t>
        </is>
      </c>
      <c r="C1184" t="inlineStr">
        <is>
          <t>Réunion</t>
        </is>
      </c>
      <c r="D1184" t="inlineStr">
        <is>
          <t>bateau</t>
        </is>
      </c>
      <c r="E1184" t="inlineStr">
        <is>
          <t>LOA</t>
        </is>
      </c>
      <c r="F1184" t="inlineStr">
        <is>
          <t>2024-08-11</t>
        </is>
      </c>
      <c r="G1184" s="4" t="n">
        <v>103427.89</v>
      </c>
      <c r="H1184" s="4">
        <f>MAX(0,G1184-SUMIFS('Paiements contrat'!$B:$B,'Paiements contrat'!$A:$A,A1184))</f>
        <v/>
      </c>
      <c r="I1184" s="4" t="n">
        <v>71131.60848292726</v>
      </c>
      <c r="J1184" t="inlineStr">
        <is>
          <t>actif</t>
        </is>
      </c>
    </row>
    <row r="1185">
      <c r="A1185" t="inlineStr">
        <is>
          <t>CTR-01208</t>
        </is>
      </c>
      <c r="B1185" t="inlineStr">
        <is>
          <t>CLI-00026</t>
        </is>
      </c>
      <c r="C1185" t="inlineStr">
        <is>
          <t>Guadeloupe</t>
        </is>
      </c>
      <c r="D1185" t="inlineStr">
        <is>
          <t>auto</t>
        </is>
      </c>
      <c r="E1185" t="inlineStr">
        <is>
          <t>LOA</t>
        </is>
      </c>
      <c r="F1185" t="inlineStr">
        <is>
          <t>2024-07-27</t>
        </is>
      </c>
      <c r="G1185" s="4" t="n">
        <v>36051.88</v>
      </c>
      <c r="H1185" s="4">
        <f>MAX(0,G1185-SUMIFS('Paiements contrat'!$B:$B,'Paiements contrat'!$A:$A,A1185))</f>
        <v/>
      </c>
      <c r="I1185" s="4" t="n">
        <v>26748.39</v>
      </c>
      <c r="J1185" t="inlineStr">
        <is>
          <t>actif</t>
        </is>
      </c>
    </row>
    <row r="1186">
      <c r="A1186" t="inlineStr">
        <is>
          <t>CTR-01209</t>
        </is>
      </c>
      <c r="B1186" t="inlineStr">
        <is>
          <t>CLI-00267</t>
        </is>
      </c>
      <c r="C1186" t="inlineStr">
        <is>
          <t>Île-de-France</t>
        </is>
      </c>
      <c r="D1186" t="inlineStr">
        <is>
          <t>auto</t>
        </is>
      </c>
      <c r="E1186" t="inlineStr">
        <is>
          <t>LOA</t>
        </is>
      </c>
      <c r="F1186" t="inlineStr">
        <is>
          <t>2025-05-08</t>
        </is>
      </c>
      <c r="G1186" s="4" t="n">
        <v>16083.93</v>
      </c>
      <c r="H1186" s="4">
        <f>MAX(0,G1186-SUMIFS('Paiements contrat'!$B:$B,'Paiements contrat'!$A:$A,A1186))</f>
        <v/>
      </c>
      <c r="I1186" s="4" t="n">
        <v>10308.23</v>
      </c>
      <c r="J1186" t="inlineStr">
        <is>
          <t>actif</t>
        </is>
      </c>
    </row>
    <row r="1187">
      <c r="A1187" t="inlineStr">
        <is>
          <t>CTR-01210</t>
        </is>
      </c>
      <c r="B1187" t="inlineStr">
        <is>
          <t>CLI-00127</t>
        </is>
      </c>
      <c r="C1187" t="inlineStr">
        <is>
          <t>Île-de-France</t>
        </is>
      </c>
      <c r="D1187" t="inlineStr">
        <is>
          <t>materiel</t>
        </is>
      </c>
      <c r="E1187" t="inlineStr">
        <is>
          <t>crédit-bail</t>
        </is>
      </c>
      <c r="F1187" t="inlineStr">
        <is>
          <t>2025-02-20</t>
        </is>
      </c>
      <c r="G1187" s="4" t="n">
        <v>35035.77</v>
      </c>
      <c r="H1187" s="4">
        <f>MAX(0,G1187-SUMIFS('Paiements contrat'!$B:$B,'Paiements contrat'!$A:$A,A1187))</f>
        <v/>
      </c>
      <c r="I1187" s="4" t="n">
        <v>21439.22129914896</v>
      </c>
      <c r="J1187" t="inlineStr">
        <is>
          <t>actif</t>
        </is>
      </c>
    </row>
    <row r="1188">
      <c r="A1188" t="inlineStr">
        <is>
          <t>CTR-01211</t>
        </is>
      </c>
      <c r="B1188" t="inlineStr">
        <is>
          <t>CLI-00453</t>
        </is>
      </c>
      <c r="C1188" t="inlineStr">
        <is>
          <t>Réunion</t>
        </is>
      </c>
      <c r="D1188" t="inlineStr">
        <is>
          <t>bateau</t>
        </is>
      </c>
      <c r="E1188" t="inlineStr">
        <is>
          <t>LOA</t>
        </is>
      </c>
      <c r="F1188" t="inlineStr">
        <is>
          <t>2024-07-25</t>
        </is>
      </c>
      <c r="G1188" s="4" t="n">
        <v>273359.45</v>
      </c>
      <c r="H1188" s="4">
        <f>MAX(0,G1188-SUMIFS('Paiements contrat'!$B:$B,'Paiements contrat'!$A:$A,A1188))</f>
        <v/>
      </c>
      <c r="I1188" s="4" t="n">
        <v>30093.61000000002</v>
      </c>
      <c r="J1188" t="inlineStr">
        <is>
          <t>soldé</t>
        </is>
      </c>
    </row>
    <row r="1189">
      <c r="A1189" t="inlineStr">
        <is>
          <t>CTR-01212</t>
        </is>
      </c>
      <c r="B1189" t="inlineStr">
        <is>
          <t>CLI-01223</t>
        </is>
      </c>
      <c r="C1189" t="inlineStr">
        <is>
          <t>Martinique</t>
        </is>
      </c>
      <c r="D1189" t="inlineStr">
        <is>
          <t>auto</t>
        </is>
      </c>
      <c r="E1189" t="inlineStr">
        <is>
          <t>LLD</t>
        </is>
      </c>
      <c r="F1189" t="inlineStr">
        <is>
          <t>2024-05-06</t>
        </is>
      </c>
      <c r="G1189" s="4" t="n">
        <v>24750.61</v>
      </c>
      <c r="H1189" s="4">
        <f>MAX(0,G1189-SUMIFS('Paiements contrat'!$B:$B,'Paiements contrat'!$A:$A,A1189))</f>
        <v/>
      </c>
      <c r="I1189" s="4" t="n">
        <v>13693.99651148182</v>
      </c>
      <c r="J1189" t="inlineStr">
        <is>
          <t>actif</t>
        </is>
      </c>
    </row>
    <row r="1190">
      <c r="A1190" t="inlineStr">
        <is>
          <t>CTR-01213</t>
        </is>
      </c>
      <c r="B1190" t="inlineStr">
        <is>
          <t>CLI-00115</t>
        </is>
      </c>
      <c r="C1190" t="inlineStr">
        <is>
          <t>Réunion</t>
        </is>
      </c>
      <c r="D1190" t="inlineStr">
        <is>
          <t>auto</t>
        </is>
      </c>
      <c r="E1190" t="inlineStr">
        <is>
          <t>LLD</t>
        </is>
      </c>
      <c r="F1190" t="inlineStr">
        <is>
          <t>2024-05-19</t>
        </is>
      </c>
      <c r="G1190" s="4" t="n">
        <v>11069.15</v>
      </c>
      <c r="H1190" s="4">
        <f>MAX(0,G1190-SUMIFS('Paiements contrat'!$B:$B,'Paiements contrat'!$A:$A,A1190))</f>
        <v/>
      </c>
      <c r="I1190" s="4" t="n">
        <v>5092.129999999999</v>
      </c>
      <c r="J1190" t="inlineStr">
        <is>
          <t>actif</t>
        </is>
      </c>
    </row>
    <row r="1191">
      <c r="A1191" t="inlineStr">
        <is>
          <t>CTR-01214</t>
        </is>
      </c>
      <c r="B1191" t="inlineStr">
        <is>
          <t>CLI-00739</t>
        </is>
      </c>
      <c r="C1191" t="inlineStr">
        <is>
          <t>Guadeloupe</t>
        </is>
      </c>
      <c r="D1191" t="inlineStr">
        <is>
          <t>auto</t>
        </is>
      </c>
      <c r="E1191" t="inlineStr">
        <is>
          <t>LOA</t>
        </is>
      </c>
      <c r="F1191" t="inlineStr">
        <is>
          <t>2025-12-20</t>
        </is>
      </c>
      <c r="G1191" s="4" t="n">
        <v>36764.45</v>
      </c>
      <c r="H1191" s="4">
        <f>MAX(0,G1191-SUMIFS('Paiements contrat'!$B:$B,'Paiements contrat'!$A:$A,A1191))</f>
        <v/>
      </c>
      <c r="I1191" s="4" t="n">
        <v>33986.12</v>
      </c>
      <c r="J1191" t="inlineStr">
        <is>
          <t>actif</t>
        </is>
      </c>
    </row>
    <row r="1192">
      <c r="A1192" t="inlineStr">
        <is>
          <t>CTR-01215</t>
        </is>
      </c>
      <c r="B1192" t="inlineStr">
        <is>
          <t>CLI-00697</t>
        </is>
      </c>
      <c r="C1192" t="inlineStr">
        <is>
          <t>Île-de-France</t>
        </is>
      </c>
      <c r="D1192" t="inlineStr">
        <is>
          <t>auto</t>
        </is>
      </c>
      <c r="E1192" t="inlineStr">
        <is>
          <t>LOA</t>
        </is>
      </c>
      <c r="F1192" t="inlineStr">
        <is>
          <t>2024-09-18</t>
        </is>
      </c>
      <c r="G1192" s="4" t="n">
        <v>41661.46</v>
      </c>
      <c r="H1192" s="4">
        <f>MAX(0,G1192-SUMIFS('Paiements contrat'!$B:$B,'Paiements contrat'!$A:$A,A1192))</f>
        <v/>
      </c>
      <c r="I1192" s="4" t="n">
        <v>23453.63667771334</v>
      </c>
      <c r="J1192" t="inlineStr">
        <is>
          <t>actif</t>
        </is>
      </c>
    </row>
    <row r="1193">
      <c r="A1193" t="inlineStr">
        <is>
          <t>CTR-01216</t>
        </is>
      </c>
      <c r="B1193" t="inlineStr">
        <is>
          <t>CLI-00836</t>
        </is>
      </c>
      <c r="C1193" t="inlineStr">
        <is>
          <t>Martinique</t>
        </is>
      </c>
      <c r="D1193" t="inlineStr">
        <is>
          <t>auto</t>
        </is>
      </c>
      <c r="E1193" t="inlineStr">
        <is>
          <t>LOA</t>
        </is>
      </c>
      <c r="F1193" t="inlineStr">
        <is>
          <t>2026-03-18</t>
        </is>
      </c>
      <c r="G1193" s="4" t="n">
        <v>65777.96000000001</v>
      </c>
      <c r="H1193" s="4">
        <f>MAX(0,G1193-SUMIFS('Paiements contrat'!$B:$B,'Paiements contrat'!$A:$A,A1193))</f>
        <v/>
      </c>
      <c r="I1193" s="4" t="n">
        <v>65777.96000000001</v>
      </c>
      <c r="J1193" t="inlineStr">
        <is>
          <t>actif</t>
        </is>
      </c>
    </row>
    <row r="1194">
      <c r="A1194" t="inlineStr">
        <is>
          <t>CTR-01217</t>
        </is>
      </c>
      <c r="B1194" t="inlineStr">
        <is>
          <t>CLI-01136</t>
        </is>
      </c>
      <c r="C1194" t="inlineStr">
        <is>
          <t>Île-de-France</t>
        </is>
      </c>
      <c r="D1194" t="inlineStr">
        <is>
          <t>materiel</t>
        </is>
      </c>
      <c r="E1194" t="inlineStr">
        <is>
          <t>crédit-bail</t>
        </is>
      </c>
      <c r="F1194" t="inlineStr">
        <is>
          <t>2024-11-01</t>
        </is>
      </c>
      <c r="G1194" s="4" t="n">
        <v>168137.34</v>
      </c>
      <c r="H1194" s="4">
        <f>MAX(0,G1194-SUMIFS('Paiements contrat'!$B:$B,'Paiements contrat'!$A:$A,A1194))</f>
        <v/>
      </c>
      <c r="I1194" s="4" t="n">
        <v>104337.8</v>
      </c>
      <c r="J1194" t="inlineStr">
        <is>
          <t>actif</t>
        </is>
      </c>
    </row>
    <row r="1195">
      <c r="A1195" t="inlineStr">
        <is>
          <t>CTR-01218</t>
        </is>
      </c>
      <c r="B1195" t="inlineStr">
        <is>
          <t>CLI-00207</t>
        </is>
      </c>
      <c r="C1195" t="inlineStr">
        <is>
          <t>Guyane</t>
        </is>
      </c>
      <c r="D1195" t="inlineStr">
        <is>
          <t>materiel</t>
        </is>
      </c>
      <c r="E1195" t="inlineStr">
        <is>
          <t>crédit-bail</t>
        </is>
      </c>
      <c r="F1195" t="inlineStr">
        <is>
          <t>2024-12-19</t>
        </is>
      </c>
      <c r="G1195" s="4" t="n">
        <v>78236.10000000001</v>
      </c>
      <c r="H1195" s="4">
        <f>MAX(0,G1195-SUMIFS('Paiements contrat'!$B:$B,'Paiements contrat'!$A:$A,A1195))</f>
        <v/>
      </c>
      <c r="I1195" s="4" t="n">
        <v>50998.13364076686</v>
      </c>
      <c r="J1195" t="inlineStr">
        <is>
          <t>actif</t>
        </is>
      </c>
    </row>
    <row r="1196">
      <c r="A1196" t="inlineStr">
        <is>
          <t>CTR-01219</t>
        </is>
      </c>
      <c r="B1196" t="inlineStr">
        <is>
          <t>CLI-00970</t>
        </is>
      </c>
      <c r="C1196" t="inlineStr">
        <is>
          <t>Île-de-France</t>
        </is>
      </c>
      <c r="D1196" t="inlineStr">
        <is>
          <t>auto</t>
        </is>
      </c>
      <c r="E1196" t="inlineStr">
        <is>
          <t>LOA</t>
        </is>
      </c>
      <c r="F1196" t="inlineStr">
        <is>
          <t>2025-03-11</t>
        </is>
      </c>
      <c r="G1196" s="4" t="n">
        <v>38295.36</v>
      </c>
      <c r="H1196" s="4">
        <f>MAX(0,G1196-SUMIFS('Paiements contrat'!$B:$B,'Paiements contrat'!$A:$A,A1196))</f>
        <v/>
      </c>
      <c r="I1196" s="4" t="n">
        <v>19833.34</v>
      </c>
      <c r="J1196" t="inlineStr">
        <is>
          <t>actif</t>
        </is>
      </c>
    </row>
    <row r="1197">
      <c r="A1197" t="inlineStr">
        <is>
          <t>CTR-01220</t>
        </is>
      </c>
      <c r="B1197" t="inlineStr">
        <is>
          <t>CLI-00582</t>
        </is>
      </c>
      <c r="C1197" t="inlineStr">
        <is>
          <t>Île-de-France</t>
        </is>
      </c>
      <c r="D1197" t="inlineStr">
        <is>
          <t>auto</t>
        </is>
      </c>
      <c r="E1197" t="inlineStr">
        <is>
          <t>LOA</t>
        </is>
      </c>
      <c r="F1197" t="inlineStr">
        <is>
          <t>2024-04-06</t>
        </is>
      </c>
      <c r="G1197" s="4" t="n">
        <v>59801.87</v>
      </c>
      <c r="H1197" s="4">
        <f>MAX(0,G1197-SUMIFS('Paiements contrat'!$B:$B,'Paiements contrat'!$A:$A,A1197))</f>
        <v/>
      </c>
      <c r="I1197" s="4" t="n">
        <v>9809.630000000005</v>
      </c>
      <c r="J1197" t="inlineStr">
        <is>
          <t>soldé</t>
        </is>
      </c>
    </row>
    <row r="1198">
      <c r="A1198" t="inlineStr">
        <is>
          <t>CTR-01221</t>
        </is>
      </c>
      <c r="B1198" t="inlineStr">
        <is>
          <t>CLI-00310</t>
        </is>
      </c>
      <c r="C1198" t="inlineStr">
        <is>
          <t>Île-de-France</t>
        </is>
      </c>
      <c r="D1198" t="inlineStr">
        <is>
          <t>auto</t>
        </is>
      </c>
      <c r="E1198" t="inlineStr">
        <is>
          <t>LOA</t>
        </is>
      </c>
      <c r="F1198" t="inlineStr">
        <is>
          <t>2024-04-26</t>
        </is>
      </c>
      <c r="G1198" s="4" t="n">
        <v>16804.69</v>
      </c>
      <c r="H1198" s="4">
        <f>MAX(0,G1198-SUMIFS('Paiements contrat'!$B:$B,'Paiements contrat'!$A:$A,A1198))</f>
        <v/>
      </c>
      <c r="I1198" s="4" t="n">
        <v>0</v>
      </c>
      <c r="J1198" t="inlineStr">
        <is>
          <t>soldé</t>
        </is>
      </c>
    </row>
    <row r="1199">
      <c r="A1199" t="inlineStr">
        <is>
          <t>CTR-01222</t>
        </is>
      </c>
      <c r="B1199" t="inlineStr">
        <is>
          <t>CLI-00221</t>
        </is>
      </c>
      <c r="C1199" t="inlineStr">
        <is>
          <t>Île-de-France</t>
        </is>
      </c>
      <c r="D1199" t="inlineStr">
        <is>
          <t>materiel</t>
        </is>
      </c>
      <c r="E1199" t="inlineStr">
        <is>
          <t>crédit-bail</t>
        </is>
      </c>
      <c r="F1199" t="inlineStr">
        <is>
          <t>2024-06-19</t>
        </is>
      </c>
      <c r="G1199" s="4" t="n">
        <v>112904.27</v>
      </c>
      <c r="H1199" s="4">
        <f>MAX(0,G1199-SUMIFS('Paiements contrat'!$B:$B,'Paiements contrat'!$A:$A,A1199))</f>
        <v/>
      </c>
      <c r="I1199" s="4" t="n">
        <v>12232.0017543015</v>
      </c>
      <c r="J1199" t="inlineStr">
        <is>
          <t>soldé</t>
        </is>
      </c>
    </row>
    <row r="1200">
      <c r="A1200" t="inlineStr">
        <is>
          <t>CTR-01223</t>
        </is>
      </c>
      <c r="B1200" t="inlineStr">
        <is>
          <t>CLI-00989</t>
        </is>
      </c>
      <c r="C1200" t="inlineStr">
        <is>
          <t>Guyane</t>
        </is>
      </c>
      <c r="D1200" t="inlineStr">
        <is>
          <t>auto</t>
        </is>
      </c>
      <c r="E1200" t="inlineStr">
        <is>
          <t>LOA</t>
        </is>
      </c>
      <c r="F1200" t="inlineStr">
        <is>
          <t>2025-03-25</t>
        </is>
      </c>
      <c r="G1200" s="4" t="n">
        <v>21696.58</v>
      </c>
      <c r="H1200" s="4">
        <f>MAX(0,G1200-SUMIFS('Paiements contrat'!$B:$B,'Paiements contrat'!$A:$A,A1200))</f>
        <v/>
      </c>
      <c r="I1200" s="4" t="n">
        <v>7450.070000000002</v>
      </c>
      <c r="J1200" t="inlineStr">
        <is>
          <t>actif</t>
        </is>
      </c>
    </row>
    <row r="1201">
      <c r="A1201" t="inlineStr">
        <is>
          <t>CTR-01224</t>
        </is>
      </c>
      <c r="B1201" t="inlineStr">
        <is>
          <t>CLI-00922</t>
        </is>
      </c>
      <c r="C1201" t="inlineStr">
        <is>
          <t>Île-de-France</t>
        </is>
      </c>
      <c r="D1201" t="inlineStr">
        <is>
          <t>auto</t>
        </is>
      </c>
      <c r="E1201" t="inlineStr">
        <is>
          <t>LLD</t>
        </is>
      </c>
      <c r="F1201" t="inlineStr">
        <is>
          <t>2024-07-26</t>
        </is>
      </c>
      <c r="G1201" s="4" t="n">
        <v>57846.64</v>
      </c>
      <c r="H1201" s="4">
        <f>MAX(0,G1201-SUMIFS('Paiements contrat'!$B:$B,'Paiements contrat'!$A:$A,A1201))</f>
        <v/>
      </c>
      <c r="I1201" s="4" t="n">
        <v>27427.08</v>
      </c>
      <c r="J1201" t="inlineStr">
        <is>
          <t>actif</t>
        </is>
      </c>
    </row>
    <row r="1202">
      <c r="A1202" t="inlineStr">
        <is>
          <t>CTR-01225</t>
        </is>
      </c>
      <c r="B1202" t="inlineStr">
        <is>
          <t>CLI-01365</t>
        </is>
      </c>
      <c r="C1202" t="inlineStr">
        <is>
          <t>Île-de-France</t>
        </is>
      </c>
      <c r="D1202" t="inlineStr">
        <is>
          <t>auto</t>
        </is>
      </c>
      <c r="E1202" t="inlineStr">
        <is>
          <t>LOA</t>
        </is>
      </c>
      <c r="F1202" t="inlineStr">
        <is>
          <t>2025-11-07</t>
        </is>
      </c>
      <c r="G1202" s="4" t="n">
        <v>53689.85</v>
      </c>
      <c r="H1202" s="4">
        <f>MAX(0,G1202-SUMIFS('Paiements contrat'!$B:$B,'Paiements contrat'!$A:$A,A1202))</f>
        <v/>
      </c>
      <c r="I1202" s="4" t="n">
        <v>48345.7</v>
      </c>
      <c r="J1202" t="inlineStr">
        <is>
          <t>actif</t>
        </is>
      </c>
    </row>
    <row r="1203">
      <c r="A1203" t="inlineStr">
        <is>
          <t>CTR-01226</t>
        </is>
      </c>
      <c r="B1203" t="inlineStr">
        <is>
          <t>CLI-00441</t>
        </is>
      </c>
      <c r="C1203" t="inlineStr">
        <is>
          <t>Martinique</t>
        </is>
      </c>
      <c r="D1203" t="inlineStr">
        <is>
          <t>auto</t>
        </is>
      </c>
      <c r="E1203" t="inlineStr">
        <is>
          <t>LOA</t>
        </is>
      </c>
      <c r="F1203" t="inlineStr">
        <is>
          <t>2024-09-25</t>
        </is>
      </c>
      <c r="G1203" s="4" t="n">
        <v>53232.67</v>
      </c>
      <c r="H1203" s="4">
        <f>MAX(0,G1203-SUMIFS('Paiements contrat'!$B:$B,'Paiements contrat'!$A:$A,A1203))</f>
        <v/>
      </c>
      <c r="I1203" s="4" t="n">
        <v>29437.92</v>
      </c>
      <c r="J1203" t="inlineStr">
        <is>
          <t>actif</t>
        </is>
      </c>
    </row>
    <row r="1204">
      <c r="A1204" t="inlineStr">
        <is>
          <t>CTR-01227</t>
        </is>
      </c>
      <c r="B1204" t="inlineStr">
        <is>
          <t>CLI-00024</t>
        </is>
      </c>
      <c r="C1204" t="inlineStr">
        <is>
          <t>Île-de-France</t>
        </is>
      </c>
      <c r="D1204" t="inlineStr">
        <is>
          <t>bateau</t>
        </is>
      </c>
      <c r="E1204" t="inlineStr">
        <is>
          <t>LOA</t>
        </is>
      </c>
      <c r="F1204" t="inlineStr">
        <is>
          <t>2024-04-15</t>
        </is>
      </c>
      <c r="G1204" s="4" t="n">
        <v>186920.54</v>
      </c>
      <c r="H1204" s="4">
        <f>MAX(0,G1204-SUMIFS('Paiements contrat'!$B:$B,'Paiements contrat'!$A:$A,A1204))</f>
        <v/>
      </c>
      <c r="I1204" s="4" t="n">
        <v>107465.52</v>
      </c>
      <c r="J1204" t="inlineStr">
        <is>
          <t>actif</t>
        </is>
      </c>
    </row>
    <row r="1205">
      <c r="A1205" t="inlineStr">
        <is>
          <t>CTR-01228</t>
        </is>
      </c>
      <c r="B1205" t="inlineStr">
        <is>
          <t>CLI-01333</t>
        </is>
      </c>
      <c r="C1205" t="inlineStr">
        <is>
          <t>Île-de-France</t>
        </is>
      </c>
      <c r="D1205" t="inlineStr">
        <is>
          <t>bateau</t>
        </is>
      </c>
      <c r="E1205" t="inlineStr">
        <is>
          <t>LOA</t>
        </is>
      </c>
      <c r="F1205" t="inlineStr">
        <is>
          <t>2024-07-04</t>
        </is>
      </c>
      <c r="G1205" s="4" t="n">
        <v>225690.97</v>
      </c>
      <c r="H1205" s="4">
        <f>MAX(0,G1205-SUMIFS('Paiements contrat'!$B:$B,'Paiements contrat'!$A:$A,A1205))</f>
        <v/>
      </c>
      <c r="I1205" s="4" t="n">
        <v>120058.1814977657</v>
      </c>
      <c r="J1205" t="inlineStr">
        <is>
          <t>actif</t>
        </is>
      </c>
    </row>
    <row r="1206">
      <c r="A1206" t="inlineStr">
        <is>
          <t>CTR-01229</t>
        </is>
      </c>
      <c r="B1206" t="inlineStr">
        <is>
          <t>CLI-01253</t>
        </is>
      </c>
      <c r="C1206" t="inlineStr">
        <is>
          <t>Île-de-France</t>
        </is>
      </c>
      <c r="D1206" t="inlineStr">
        <is>
          <t>auto</t>
        </is>
      </c>
      <c r="E1206" t="inlineStr">
        <is>
          <t>LLD</t>
        </is>
      </c>
      <c r="F1206" t="inlineStr">
        <is>
          <t>2025-08-21</t>
        </is>
      </c>
      <c r="G1206" s="4" t="n">
        <v>21222.38</v>
      </c>
      <c r="H1206" s="4">
        <f>MAX(0,G1206-SUMIFS('Paiements contrat'!$B:$B,'Paiements contrat'!$A:$A,A1206))</f>
        <v/>
      </c>
      <c r="I1206" s="4" t="n">
        <v>17911.28</v>
      </c>
      <c r="J1206" t="inlineStr">
        <is>
          <t>actif</t>
        </is>
      </c>
    </row>
    <row r="1207">
      <c r="A1207" t="inlineStr">
        <is>
          <t>CTR-01230</t>
        </is>
      </c>
      <c r="B1207" t="inlineStr">
        <is>
          <t>CLI-01128</t>
        </is>
      </c>
      <c r="C1207" t="inlineStr">
        <is>
          <t>Île-de-France</t>
        </is>
      </c>
      <c r="D1207" t="inlineStr">
        <is>
          <t>auto</t>
        </is>
      </c>
      <c r="E1207" t="inlineStr">
        <is>
          <t>LOA</t>
        </is>
      </c>
      <c r="F1207" t="inlineStr">
        <is>
          <t>2024-12-02</t>
        </is>
      </c>
      <c r="G1207" s="4" t="n">
        <v>34010.2</v>
      </c>
      <c r="H1207" s="4">
        <f>MAX(0,G1207-SUMIFS('Paiements contrat'!$B:$B,'Paiements contrat'!$A:$A,A1207))</f>
        <v/>
      </c>
      <c r="I1207" s="4" t="n">
        <v>24614.75999999999</v>
      </c>
      <c r="J1207" t="inlineStr">
        <is>
          <t>actif</t>
        </is>
      </c>
    </row>
    <row r="1208">
      <c r="A1208" t="inlineStr">
        <is>
          <t>CTR-01231</t>
        </is>
      </c>
      <c r="B1208" t="inlineStr">
        <is>
          <t>CLI-01467</t>
        </is>
      </c>
      <c r="C1208" t="inlineStr">
        <is>
          <t>Île-de-France</t>
        </is>
      </c>
      <c r="D1208" t="inlineStr">
        <is>
          <t>materiel</t>
        </is>
      </c>
      <c r="E1208" t="inlineStr">
        <is>
          <t>crédit-bail</t>
        </is>
      </c>
      <c r="F1208" t="inlineStr">
        <is>
          <t>2024-12-13</t>
        </is>
      </c>
      <c r="G1208" s="4" t="n">
        <v>144597.67</v>
      </c>
      <c r="H1208" s="4">
        <f>MAX(0,G1208-SUMIFS('Paiements contrat'!$B:$B,'Paiements contrat'!$A:$A,A1208))</f>
        <v/>
      </c>
      <c r="I1208" s="4" t="n">
        <v>105729.15</v>
      </c>
      <c r="J1208" t="inlineStr">
        <is>
          <t>contentieux</t>
        </is>
      </c>
    </row>
    <row r="1209">
      <c r="A1209" t="inlineStr">
        <is>
          <t>CTR-01232</t>
        </is>
      </c>
      <c r="B1209" t="inlineStr">
        <is>
          <t>CLI-00746</t>
        </is>
      </c>
      <c r="C1209" t="inlineStr">
        <is>
          <t>Île-de-France</t>
        </is>
      </c>
      <c r="D1209" t="inlineStr">
        <is>
          <t>auto</t>
        </is>
      </c>
      <c r="E1209" t="inlineStr">
        <is>
          <t>LOA</t>
        </is>
      </c>
      <c r="F1209" t="inlineStr">
        <is>
          <t>2025-05-20</t>
        </is>
      </c>
      <c r="G1209" s="4" t="n">
        <v>11242.78</v>
      </c>
      <c r="H1209" s="4">
        <f>MAX(0,G1209-SUMIFS('Paiements contrat'!$B:$B,'Paiements contrat'!$A:$A,A1209))</f>
        <v/>
      </c>
      <c r="I1209" s="4" t="n">
        <v>2834.02</v>
      </c>
      <c r="J1209" t="inlineStr">
        <is>
          <t>actif</t>
        </is>
      </c>
    </row>
    <row r="1210">
      <c r="A1210" t="inlineStr">
        <is>
          <t>CTR-01233</t>
        </is>
      </c>
      <c r="B1210" t="inlineStr">
        <is>
          <t>CLI-00959</t>
        </is>
      </c>
      <c r="C1210" t="inlineStr">
        <is>
          <t>Île-de-France</t>
        </is>
      </c>
      <c r="D1210" t="inlineStr">
        <is>
          <t>materiel</t>
        </is>
      </c>
      <c r="E1210" t="inlineStr">
        <is>
          <t>crédit-bail</t>
        </is>
      </c>
      <c r="F1210" t="inlineStr">
        <is>
          <t>2025-12-03</t>
        </is>
      </c>
      <c r="G1210" s="4" t="n">
        <v>79884.2</v>
      </c>
      <c r="H1210" s="4">
        <f>MAX(0,G1210-SUMIFS('Paiements contrat'!$B:$B,'Paiements contrat'!$A:$A,A1210))</f>
        <v/>
      </c>
      <c r="I1210" s="4" t="n">
        <v>74054.71795036446</v>
      </c>
      <c r="J1210" t="inlineStr">
        <is>
          <t>actif</t>
        </is>
      </c>
    </row>
    <row r="1211">
      <c r="A1211" t="inlineStr">
        <is>
          <t>CTR-01234</t>
        </is>
      </c>
      <c r="B1211" t="inlineStr">
        <is>
          <t>CLI-00480</t>
        </is>
      </c>
      <c r="C1211" t="inlineStr">
        <is>
          <t>Île-de-France</t>
        </is>
      </c>
      <c r="D1211" t="inlineStr">
        <is>
          <t>auto</t>
        </is>
      </c>
      <c r="E1211" t="inlineStr">
        <is>
          <t>LOA</t>
        </is>
      </c>
      <c r="F1211" t="inlineStr">
        <is>
          <t>2024-08-20</t>
        </is>
      </c>
      <c r="G1211" s="4" t="n">
        <v>51390.2</v>
      </c>
      <c r="H1211" s="4">
        <f>MAX(0,G1211-SUMIFS('Paiements contrat'!$B:$B,'Paiements contrat'!$A:$A,A1211))</f>
        <v/>
      </c>
      <c r="I1211" s="4" t="n">
        <v>13112.67999999999</v>
      </c>
      <c r="J1211" t="inlineStr">
        <is>
          <t>actif</t>
        </is>
      </c>
    </row>
    <row r="1212">
      <c r="A1212" t="inlineStr">
        <is>
          <t>CTR-01235</t>
        </is>
      </c>
      <c r="B1212" t="inlineStr">
        <is>
          <t>CLI-00518</t>
        </is>
      </c>
      <c r="C1212" t="inlineStr">
        <is>
          <t>Île-de-France</t>
        </is>
      </c>
      <c r="D1212" t="inlineStr">
        <is>
          <t>auto</t>
        </is>
      </c>
      <c r="E1212" t="inlineStr">
        <is>
          <t>LOA</t>
        </is>
      </c>
      <c r="F1212" t="inlineStr">
        <is>
          <t>2024-12-20</t>
        </is>
      </c>
      <c r="G1212" s="4" t="n">
        <v>37539.2</v>
      </c>
      <c r="H1212" s="4">
        <f>MAX(0,G1212-SUMIFS('Paiements contrat'!$B:$B,'Paiements contrat'!$A:$A,A1212))</f>
        <v/>
      </c>
      <c r="I1212" s="4" t="n">
        <v>24381.02</v>
      </c>
      <c r="J1212" t="inlineStr">
        <is>
          <t>actif</t>
        </is>
      </c>
    </row>
    <row r="1213">
      <c r="A1213" t="inlineStr">
        <is>
          <t>CTR-01236</t>
        </is>
      </c>
      <c r="B1213" t="inlineStr">
        <is>
          <t>CLI-00853</t>
        </is>
      </c>
      <c r="C1213" t="inlineStr">
        <is>
          <t>Île-de-France</t>
        </is>
      </c>
      <c r="D1213" t="inlineStr">
        <is>
          <t>bateau</t>
        </is>
      </c>
      <c r="E1213" t="inlineStr">
        <is>
          <t>LOA</t>
        </is>
      </c>
      <c r="F1213" t="inlineStr">
        <is>
          <t>2025-04-03</t>
        </is>
      </c>
      <c r="G1213" s="4" t="n">
        <v>194804.65</v>
      </c>
      <c r="H1213" s="4">
        <f>MAX(0,G1213-SUMIFS('Paiements contrat'!$B:$B,'Paiements contrat'!$A:$A,A1213))</f>
        <v/>
      </c>
      <c r="I1213" s="4" t="n">
        <v>145450.5</v>
      </c>
      <c r="J1213" t="inlineStr">
        <is>
          <t>actif</t>
        </is>
      </c>
    </row>
    <row r="1214">
      <c r="A1214" t="inlineStr">
        <is>
          <t>CTR-01237</t>
        </is>
      </c>
      <c r="B1214" t="inlineStr">
        <is>
          <t>CLI-00448</t>
        </is>
      </c>
      <c r="C1214" t="inlineStr">
        <is>
          <t>Île-de-France</t>
        </is>
      </c>
      <c r="D1214" t="inlineStr">
        <is>
          <t>auto</t>
        </is>
      </c>
      <c r="E1214" t="inlineStr">
        <is>
          <t>LOA</t>
        </is>
      </c>
      <c r="F1214" t="inlineStr">
        <is>
          <t>2024-09-24</t>
        </is>
      </c>
      <c r="G1214" s="4" t="n">
        <v>26636.71</v>
      </c>
      <c r="H1214" s="4">
        <f>MAX(0,G1214-SUMIFS('Paiements contrat'!$B:$B,'Paiements contrat'!$A:$A,A1214))</f>
        <v/>
      </c>
      <c r="I1214" s="4" t="n">
        <v>8301.618739798905</v>
      </c>
      <c r="J1214" t="inlineStr">
        <is>
          <t>actif</t>
        </is>
      </c>
    </row>
    <row r="1215">
      <c r="A1215" t="inlineStr">
        <is>
          <t>CTR-01238</t>
        </is>
      </c>
      <c r="B1215" t="inlineStr">
        <is>
          <t>CLI-01381</t>
        </is>
      </c>
      <c r="C1215" t="inlineStr">
        <is>
          <t>Réunion</t>
        </is>
      </c>
      <c r="D1215" t="inlineStr">
        <is>
          <t>auto</t>
        </is>
      </c>
      <c r="E1215" t="inlineStr">
        <is>
          <t>LOA</t>
        </is>
      </c>
      <c r="F1215" t="inlineStr">
        <is>
          <t>2025-07-17</t>
        </is>
      </c>
      <c r="G1215" s="4" t="n">
        <v>59009.17</v>
      </c>
      <c r="H1215" s="4">
        <f>MAX(0,G1215-SUMIFS('Paiements contrat'!$B:$B,'Paiements contrat'!$A:$A,A1215))</f>
        <v/>
      </c>
      <c r="I1215" s="4" t="n">
        <v>46300.02</v>
      </c>
      <c r="J1215" t="inlineStr">
        <is>
          <t>actif</t>
        </is>
      </c>
    </row>
    <row r="1216">
      <c r="A1216" t="inlineStr">
        <is>
          <t>CTR-01239</t>
        </is>
      </c>
      <c r="B1216" t="inlineStr">
        <is>
          <t>CLI-00580</t>
        </is>
      </c>
      <c r="C1216" t="inlineStr">
        <is>
          <t>Île-de-France</t>
        </is>
      </c>
      <c r="D1216" t="inlineStr">
        <is>
          <t>auto</t>
        </is>
      </c>
      <c r="E1216" t="inlineStr">
        <is>
          <t>LLD</t>
        </is>
      </c>
      <c r="F1216" t="inlineStr">
        <is>
          <t>2024-12-26</t>
        </is>
      </c>
      <c r="G1216" s="4" t="n">
        <v>64671.02</v>
      </c>
      <c r="H1216" s="4">
        <f>MAX(0,G1216-SUMIFS('Paiements contrat'!$B:$B,'Paiements contrat'!$A:$A,A1216))</f>
        <v/>
      </c>
      <c r="I1216" s="4" t="n">
        <v>40541.66</v>
      </c>
      <c r="J1216" t="inlineStr">
        <is>
          <t>actif</t>
        </is>
      </c>
    </row>
    <row r="1217">
      <c r="A1217" t="inlineStr">
        <is>
          <t>CTR-01240</t>
        </is>
      </c>
      <c r="B1217" t="inlineStr">
        <is>
          <t>CLI-01489</t>
        </is>
      </c>
      <c r="C1217" t="inlineStr">
        <is>
          <t>Île-de-France</t>
        </is>
      </c>
      <c r="D1217" t="inlineStr">
        <is>
          <t>auto</t>
        </is>
      </c>
      <c r="E1217" t="inlineStr">
        <is>
          <t>LLD</t>
        </is>
      </c>
      <c r="F1217" t="inlineStr">
        <is>
          <t>2024-08-14</t>
        </is>
      </c>
      <c r="G1217" s="4" t="n">
        <v>37116.21</v>
      </c>
      <c r="H1217" s="4">
        <f>MAX(0,G1217-SUMIFS('Paiements contrat'!$B:$B,'Paiements contrat'!$A:$A,A1217))</f>
        <v/>
      </c>
      <c r="I1217" s="4" t="n">
        <v>13856.3770657347</v>
      </c>
      <c r="J1217" t="inlineStr">
        <is>
          <t>actif</t>
        </is>
      </c>
    </row>
    <row r="1218">
      <c r="A1218" t="inlineStr">
        <is>
          <t>CTR-01241</t>
        </is>
      </c>
      <c r="B1218" t="inlineStr">
        <is>
          <t>CLI-01102</t>
        </is>
      </c>
      <c r="C1218" t="inlineStr">
        <is>
          <t>Martinique</t>
        </is>
      </c>
      <c r="D1218" t="inlineStr">
        <is>
          <t>auto</t>
        </is>
      </c>
      <c r="E1218" t="inlineStr">
        <is>
          <t>LOA</t>
        </is>
      </c>
      <c r="F1218" t="inlineStr">
        <is>
          <t>2024-05-02</t>
        </is>
      </c>
      <c r="G1218" s="4" t="n">
        <v>37165.63</v>
      </c>
      <c r="H1218" s="4">
        <f>MAX(0,G1218-SUMIFS('Paiements contrat'!$B:$B,'Paiements contrat'!$A:$A,A1218))</f>
        <v/>
      </c>
      <c r="I1218" s="4" t="n">
        <v>27526.48</v>
      </c>
      <c r="J1218" t="inlineStr">
        <is>
          <t>actif</t>
        </is>
      </c>
    </row>
    <row r="1219">
      <c r="A1219" t="inlineStr">
        <is>
          <t>CTR-01242</t>
        </is>
      </c>
      <c r="B1219" t="inlineStr">
        <is>
          <t>CLI-01107</t>
        </is>
      </c>
      <c r="C1219" t="inlineStr">
        <is>
          <t>Île-de-France</t>
        </is>
      </c>
      <c r="D1219" t="inlineStr">
        <is>
          <t>auto</t>
        </is>
      </c>
      <c r="E1219" t="inlineStr">
        <is>
          <t>LOA</t>
        </is>
      </c>
      <c r="F1219" t="inlineStr">
        <is>
          <t>2025-05-22</t>
        </is>
      </c>
      <c r="G1219" s="4" t="n">
        <v>39826.45</v>
      </c>
      <c r="H1219" s="4">
        <f>MAX(0,G1219-SUMIFS('Paiements contrat'!$B:$B,'Paiements contrat'!$A:$A,A1219))</f>
        <v/>
      </c>
      <c r="I1219" s="4" t="n">
        <v>31158.26298970323</v>
      </c>
      <c r="J1219" t="inlineStr">
        <is>
          <t>actif</t>
        </is>
      </c>
    </row>
    <row r="1220">
      <c r="A1220" t="inlineStr">
        <is>
          <t>CTR-01243</t>
        </is>
      </c>
      <c r="B1220" t="inlineStr">
        <is>
          <t>CLI-01398</t>
        </is>
      </c>
      <c r="C1220" t="inlineStr">
        <is>
          <t>Île-de-France</t>
        </is>
      </c>
      <c r="D1220" t="inlineStr">
        <is>
          <t>materiel</t>
        </is>
      </c>
      <c r="E1220" t="inlineStr">
        <is>
          <t>crédit-bail</t>
        </is>
      </c>
      <c r="F1220" t="inlineStr">
        <is>
          <t>2026-03-16</t>
        </is>
      </c>
      <c r="G1220" s="4" t="n">
        <v>156295.41</v>
      </c>
      <c r="H1220" s="4">
        <f>MAX(0,G1220-SUMIFS('Paiements contrat'!$B:$B,'Paiements contrat'!$A:$A,A1220))</f>
        <v/>
      </c>
      <c r="I1220" s="4" t="n">
        <v>156295.41</v>
      </c>
      <c r="J1220" t="inlineStr">
        <is>
          <t>actif</t>
        </is>
      </c>
    </row>
    <row r="1221">
      <c r="A1221" t="inlineStr">
        <is>
          <t>CTR-01244</t>
        </is>
      </c>
      <c r="B1221" t="inlineStr">
        <is>
          <t>CLI-01018</t>
        </is>
      </c>
      <c r="C1221" t="inlineStr">
        <is>
          <t>Guadeloupe</t>
        </is>
      </c>
      <c r="D1221" t="inlineStr">
        <is>
          <t>auto</t>
        </is>
      </c>
      <c r="E1221" t="inlineStr">
        <is>
          <t>LLD</t>
        </is>
      </c>
      <c r="F1221" t="inlineStr">
        <is>
          <t>2025-11-18</t>
        </is>
      </c>
      <c r="G1221" s="4" t="n">
        <v>21887.56</v>
      </c>
      <c r="H1221" s="4">
        <f>MAX(0,G1221-SUMIFS('Paiements contrat'!$B:$B,'Paiements contrat'!$A:$A,A1221))</f>
        <v/>
      </c>
      <c r="I1221" s="4" t="n">
        <v>16515.1</v>
      </c>
      <c r="J1221" t="inlineStr">
        <is>
          <t>actif</t>
        </is>
      </c>
    </row>
    <row r="1222">
      <c r="A1222" t="inlineStr">
        <is>
          <t>CTR-01245</t>
        </is>
      </c>
      <c r="B1222" t="inlineStr">
        <is>
          <t>CLI-00116</t>
        </is>
      </c>
      <c r="C1222" t="inlineStr">
        <is>
          <t>Île-de-France</t>
        </is>
      </c>
      <c r="D1222" t="inlineStr">
        <is>
          <t>auto</t>
        </is>
      </c>
      <c r="E1222" t="inlineStr">
        <is>
          <t>LLD</t>
        </is>
      </c>
      <c r="F1222" t="inlineStr">
        <is>
          <t>2025-07-06</t>
        </is>
      </c>
      <c r="G1222" s="4" t="n">
        <v>47644.21</v>
      </c>
      <c r="H1222" s="4">
        <f>MAX(0,G1222-SUMIFS('Paiements contrat'!$B:$B,'Paiements contrat'!$A:$A,A1222))</f>
        <v/>
      </c>
      <c r="I1222" s="4" t="n">
        <v>42179.12078360157</v>
      </c>
      <c r="J1222" t="inlineStr">
        <is>
          <t>actif</t>
        </is>
      </c>
    </row>
    <row r="1223">
      <c r="A1223" t="inlineStr">
        <is>
          <t>CTR-01246</t>
        </is>
      </c>
      <c r="B1223" t="inlineStr">
        <is>
          <t>CLI-00026</t>
        </is>
      </c>
      <c r="C1223" t="inlineStr">
        <is>
          <t>Guadeloupe</t>
        </is>
      </c>
      <c r="D1223" t="inlineStr">
        <is>
          <t>auto</t>
        </is>
      </c>
      <c r="E1223" t="inlineStr">
        <is>
          <t>LLD</t>
        </is>
      </c>
      <c r="F1223" t="inlineStr">
        <is>
          <t>2024-06-18</t>
        </is>
      </c>
      <c r="G1223" s="4" t="n">
        <v>46258.04</v>
      </c>
      <c r="H1223" s="4">
        <f>MAX(0,G1223-SUMIFS('Paiements contrat'!$B:$B,'Paiements contrat'!$A:$A,A1223))</f>
        <v/>
      </c>
      <c r="I1223" s="4" t="n">
        <v>22244.42</v>
      </c>
      <c r="J1223" t="inlineStr">
        <is>
          <t>actif</t>
        </is>
      </c>
    </row>
    <row r="1224">
      <c r="A1224" t="inlineStr">
        <is>
          <t>CTR-01247</t>
        </is>
      </c>
      <c r="B1224" t="inlineStr">
        <is>
          <t>CLI-00308</t>
        </is>
      </c>
      <c r="C1224" t="inlineStr">
        <is>
          <t>Île-de-France</t>
        </is>
      </c>
      <c r="D1224" t="inlineStr">
        <is>
          <t>materiel</t>
        </is>
      </c>
      <c r="E1224" t="inlineStr">
        <is>
          <t>crédit-bail</t>
        </is>
      </c>
      <c r="F1224" t="inlineStr">
        <is>
          <t>2025-02-15</t>
        </is>
      </c>
      <c r="G1224" s="4" t="n">
        <v>146590.68</v>
      </c>
      <c r="H1224" s="4">
        <f>MAX(0,G1224-SUMIFS('Paiements contrat'!$B:$B,'Paiements contrat'!$A:$A,A1224))</f>
        <v/>
      </c>
      <c r="I1224" s="4" t="n">
        <v>101906.0743196794</v>
      </c>
      <c r="J1224" t="inlineStr">
        <is>
          <t>actif</t>
        </is>
      </c>
    </row>
    <row r="1225">
      <c r="A1225" t="inlineStr">
        <is>
          <t>CTR-01248</t>
        </is>
      </c>
      <c r="B1225" t="inlineStr">
        <is>
          <t>CLI-00381</t>
        </is>
      </c>
      <c r="C1225" t="inlineStr">
        <is>
          <t>Île-de-France</t>
        </is>
      </c>
      <c r="D1225" t="inlineStr">
        <is>
          <t>materiel</t>
        </is>
      </c>
      <c r="E1225" t="inlineStr">
        <is>
          <t>crédit-bail</t>
        </is>
      </c>
      <c r="F1225" t="inlineStr">
        <is>
          <t>2025-06-10</t>
        </is>
      </c>
      <c r="G1225" s="4" t="n">
        <v>46260.79</v>
      </c>
      <c r="H1225" s="4">
        <f>MAX(0,G1225-SUMIFS('Paiements contrat'!$B:$B,'Paiements contrat'!$A:$A,A1225))</f>
        <v/>
      </c>
      <c r="I1225" s="4" t="n">
        <v>35390.45</v>
      </c>
      <c r="J1225" t="inlineStr">
        <is>
          <t>actif</t>
        </is>
      </c>
    </row>
    <row r="1226">
      <c r="A1226" t="inlineStr">
        <is>
          <t>CTR-01249</t>
        </is>
      </c>
      <c r="B1226" t="inlineStr">
        <is>
          <t>CLI-00659</t>
        </is>
      </c>
      <c r="C1226" t="inlineStr">
        <is>
          <t>Île-de-France</t>
        </is>
      </c>
      <c r="D1226" t="inlineStr">
        <is>
          <t>auto</t>
        </is>
      </c>
      <c r="E1226" t="inlineStr">
        <is>
          <t>LOA</t>
        </is>
      </c>
      <c r="F1226" t="inlineStr">
        <is>
          <t>2025-12-16</t>
        </is>
      </c>
      <c r="G1226" s="4" t="n">
        <v>53852.35</v>
      </c>
      <c r="H1226" s="4">
        <f>MAX(0,G1226-SUMIFS('Paiements contrat'!$B:$B,'Paiements contrat'!$A:$A,A1226))</f>
        <v/>
      </c>
      <c r="I1226" s="4" t="n">
        <v>51337.38</v>
      </c>
      <c r="J1226" t="inlineStr">
        <is>
          <t>actif</t>
        </is>
      </c>
    </row>
    <row r="1227">
      <c r="A1227" t="inlineStr">
        <is>
          <t>CTR-01250</t>
        </is>
      </c>
      <c r="B1227" t="inlineStr">
        <is>
          <t>CLI-01399</t>
        </is>
      </c>
      <c r="C1227" t="inlineStr">
        <is>
          <t>Île-de-France</t>
        </is>
      </c>
      <c r="D1227" t="inlineStr">
        <is>
          <t>auto</t>
        </is>
      </c>
      <c r="E1227" t="inlineStr">
        <is>
          <t>LLD</t>
        </is>
      </c>
      <c r="F1227" t="inlineStr">
        <is>
          <t>2025-02-21</t>
        </is>
      </c>
      <c r="G1227" s="4" t="n">
        <v>51186.45</v>
      </c>
      <c r="H1227" s="4">
        <f>MAX(0,G1227-SUMIFS('Paiements contrat'!$B:$B,'Paiements contrat'!$A:$A,A1227))</f>
        <v/>
      </c>
      <c r="I1227" s="4" t="n">
        <v>30898.49460324783</v>
      </c>
      <c r="J1227" t="inlineStr">
        <is>
          <t>actif</t>
        </is>
      </c>
    </row>
    <row r="1228">
      <c r="A1228" t="inlineStr">
        <is>
          <t>CTR-01251</t>
        </is>
      </c>
      <c r="B1228" t="inlineStr">
        <is>
          <t>CLI-01091</t>
        </is>
      </c>
      <c r="C1228" t="inlineStr">
        <is>
          <t>Île-de-France</t>
        </is>
      </c>
      <c r="D1228" t="inlineStr">
        <is>
          <t>auto</t>
        </is>
      </c>
      <c r="E1228" t="inlineStr">
        <is>
          <t>LOA</t>
        </is>
      </c>
      <c r="F1228" t="inlineStr">
        <is>
          <t>2025-01-10</t>
        </is>
      </c>
      <c r="G1228" s="4" t="n">
        <v>41928.4</v>
      </c>
      <c r="H1228" s="4">
        <f>MAX(0,G1228-SUMIFS('Paiements contrat'!$B:$B,'Paiements contrat'!$A:$A,A1228))</f>
        <v/>
      </c>
      <c r="I1228" s="4" t="n">
        <v>17920.67</v>
      </c>
      <c r="J1228" t="inlineStr">
        <is>
          <t>contentieux</t>
        </is>
      </c>
    </row>
    <row r="1229">
      <c r="A1229" t="inlineStr">
        <is>
          <t>CTR-01252</t>
        </is>
      </c>
      <c r="B1229" t="inlineStr">
        <is>
          <t>CLI-00294</t>
        </is>
      </c>
      <c r="C1229" t="inlineStr">
        <is>
          <t>Île-de-France</t>
        </is>
      </c>
      <c r="D1229" t="inlineStr">
        <is>
          <t>materiel</t>
        </is>
      </c>
      <c r="E1229" t="inlineStr">
        <is>
          <t>crédit-bail</t>
        </is>
      </c>
      <c r="F1229" t="inlineStr">
        <is>
          <t>2025-05-17</t>
        </is>
      </c>
      <c r="G1229" s="4" t="n">
        <v>137309.69</v>
      </c>
      <c r="H1229" s="4">
        <f>MAX(0,G1229-SUMIFS('Paiements contrat'!$B:$B,'Paiements contrat'!$A:$A,A1229))</f>
        <v/>
      </c>
      <c r="I1229" s="4" t="n">
        <v>100488.859513406</v>
      </c>
      <c r="J1229" t="inlineStr">
        <is>
          <t>actif</t>
        </is>
      </c>
    </row>
    <row r="1230">
      <c r="A1230" t="inlineStr">
        <is>
          <t>CTR-01253</t>
        </is>
      </c>
      <c r="B1230" t="inlineStr">
        <is>
          <t>CLI-01211</t>
        </is>
      </c>
      <c r="C1230" t="inlineStr">
        <is>
          <t>Île-de-France</t>
        </is>
      </c>
      <c r="D1230" t="inlineStr">
        <is>
          <t>auto</t>
        </is>
      </c>
      <c r="E1230" t="inlineStr">
        <is>
          <t>LOA</t>
        </is>
      </c>
      <c r="F1230" t="inlineStr">
        <is>
          <t>2025-02-21</t>
        </is>
      </c>
      <c r="G1230" s="4" t="n">
        <v>68256.41</v>
      </c>
      <c r="H1230" s="4">
        <f>MAX(0,G1230-SUMIFS('Paiements contrat'!$B:$B,'Paiements contrat'!$A:$A,A1230))</f>
        <v/>
      </c>
      <c r="I1230" s="4" t="n">
        <v>37868.33</v>
      </c>
      <c r="J1230" t="inlineStr">
        <is>
          <t>actif</t>
        </is>
      </c>
    </row>
    <row r="1231">
      <c r="A1231" t="inlineStr">
        <is>
          <t>CTR-01254</t>
        </is>
      </c>
      <c r="B1231" t="inlineStr">
        <is>
          <t>CLI-01000</t>
        </is>
      </c>
      <c r="C1231" t="inlineStr">
        <is>
          <t>Martinique</t>
        </is>
      </c>
      <c r="D1231" t="inlineStr">
        <is>
          <t>auto</t>
        </is>
      </c>
      <c r="E1231" t="inlineStr">
        <is>
          <t>LOA</t>
        </is>
      </c>
      <c r="F1231" t="inlineStr">
        <is>
          <t>2024-10-14</t>
        </is>
      </c>
      <c r="G1231" s="4" t="n">
        <v>39137.65</v>
      </c>
      <c r="H1231" s="4">
        <f>MAX(0,G1231-SUMIFS('Paiements contrat'!$B:$B,'Paiements contrat'!$A:$A,A1231))</f>
        <v/>
      </c>
      <c r="I1231" s="4" t="n">
        <v>28281.04</v>
      </c>
      <c r="J1231" t="inlineStr">
        <is>
          <t>actif</t>
        </is>
      </c>
    </row>
    <row r="1232">
      <c r="A1232" t="inlineStr">
        <is>
          <t>CTR-01255</t>
        </is>
      </c>
      <c r="B1232" t="inlineStr">
        <is>
          <t>CLI-00684</t>
        </is>
      </c>
      <c r="C1232" t="inlineStr">
        <is>
          <t>Réunion</t>
        </is>
      </c>
      <c r="D1232" t="inlineStr">
        <is>
          <t>auto</t>
        </is>
      </c>
      <c r="E1232" t="inlineStr">
        <is>
          <t>LOA</t>
        </is>
      </c>
      <c r="F1232" t="inlineStr">
        <is>
          <t>2024-09-16</t>
        </is>
      </c>
      <c r="G1232" s="4" t="n">
        <v>59078.88</v>
      </c>
      <c r="H1232" s="4">
        <f>MAX(0,G1232-SUMIFS('Paiements contrat'!$B:$B,'Paiements contrat'!$A:$A,A1232))</f>
        <v/>
      </c>
      <c r="I1232" s="4" t="n">
        <v>26776.64</v>
      </c>
      <c r="J1232" t="inlineStr">
        <is>
          <t>actif</t>
        </is>
      </c>
    </row>
    <row r="1233">
      <c r="A1233" t="inlineStr">
        <is>
          <t>CTR-01256</t>
        </is>
      </c>
      <c r="B1233" t="inlineStr">
        <is>
          <t>CLI-00322</t>
        </is>
      </c>
      <c r="C1233" t="inlineStr">
        <is>
          <t>Île-de-France</t>
        </is>
      </c>
      <c r="D1233" t="inlineStr">
        <is>
          <t>materiel</t>
        </is>
      </c>
      <c r="E1233" t="inlineStr">
        <is>
          <t>crédit-bail</t>
        </is>
      </c>
      <c r="F1233" t="inlineStr">
        <is>
          <t>2025-08-10</t>
        </is>
      </c>
      <c r="G1233" s="4" t="n">
        <v>13618.12</v>
      </c>
      <c r="H1233" s="4">
        <f>MAX(0,G1233-SUMIFS('Paiements contrat'!$B:$B,'Paiements contrat'!$A:$A,A1233))</f>
        <v/>
      </c>
      <c r="I1233" s="4" t="n">
        <v>10691.63</v>
      </c>
      <c r="J1233" t="inlineStr">
        <is>
          <t>actif</t>
        </is>
      </c>
    </row>
    <row r="1234">
      <c r="A1234" t="inlineStr">
        <is>
          <t>CTR-01257</t>
        </is>
      </c>
      <c r="B1234" t="inlineStr">
        <is>
          <t>CLI-00273</t>
        </is>
      </c>
      <c r="C1234" t="inlineStr">
        <is>
          <t>Île-de-France</t>
        </is>
      </c>
      <c r="D1234" t="inlineStr">
        <is>
          <t>materiel</t>
        </is>
      </c>
      <c r="E1234" t="inlineStr">
        <is>
          <t>crédit-bail</t>
        </is>
      </c>
      <c r="F1234" t="inlineStr">
        <is>
          <t>2026-01-12</t>
        </is>
      </c>
      <c r="G1234" s="4" t="n">
        <v>84715.8</v>
      </c>
      <c r="H1234" s="4">
        <f>MAX(0,G1234-SUMIFS('Paiements contrat'!$B:$B,'Paiements contrat'!$A:$A,A1234))</f>
        <v/>
      </c>
      <c r="I1234" s="4" t="n">
        <v>80234.11</v>
      </c>
      <c r="J1234" t="inlineStr">
        <is>
          <t>actif</t>
        </is>
      </c>
    </row>
    <row r="1235">
      <c r="A1235" t="inlineStr">
        <is>
          <t>CTR-01258</t>
        </is>
      </c>
      <c r="B1235" t="inlineStr">
        <is>
          <t>CLI-01151</t>
        </is>
      </c>
      <c r="C1235" t="inlineStr">
        <is>
          <t>Île-de-France</t>
        </is>
      </c>
      <c r="D1235" t="inlineStr">
        <is>
          <t>auto</t>
        </is>
      </c>
      <c r="E1235" t="inlineStr">
        <is>
          <t>LLD</t>
        </is>
      </c>
      <c r="F1235" t="inlineStr">
        <is>
          <t>2024-05-13</t>
        </is>
      </c>
      <c r="G1235" s="4" t="n">
        <v>50164.53</v>
      </c>
      <c r="H1235" s="4">
        <f>MAX(0,G1235-SUMIFS('Paiements contrat'!$B:$B,'Paiements contrat'!$A:$A,A1235))</f>
        <v/>
      </c>
      <c r="I1235" s="4" t="n">
        <v>18498.2664950133</v>
      </c>
      <c r="J1235" t="inlineStr">
        <is>
          <t>actif</t>
        </is>
      </c>
    </row>
    <row r="1236">
      <c r="A1236" t="inlineStr">
        <is>
          <t>CTR-01259</t>
        </is>
      </c>
      <c r="B1236" t="inlineStr">
        <is>
          <t>CLI-01226</t>
        </is>
      </c>
      <c r="C1236" t="inlineStr">
        <is>
          <t>Île-de-France</t>
        </is>
      </c>
      <c r="D1236" t="inlineStr">
        <is>
          <t>auto</t>
        </is>
      </c>
      <c r="E1236" t="inlineStr">
        <is>
          <t>LOA</t>
        </is>
      </c>
      <c r="F1236" t="inlineStr">
        <is>
          <t>2025-10-18</t>
        </is>
      </c>
      <c r="G1236" s="4" t="n">
        <v>50551.82</v>
      </c>
      <c r="H1236" s="4">
        <f>MAX(0,G1236-SUMIFS('Paiements contrat'!$B:$B,'Paiements contrat'!$A:$A,A1236))</f>
        <v/>
      </c>
      <c r="I1236" s="4" t="n">
        <v>43970.02</v>
      </c>
      <c r="J1236" t="inlineStr">
        <is>
          <t>actif</t>
        </is>
      </c>
    </row>
    <row r="1237">
      <c r="A1237" t="inlineStr">
        <is>
          <t>CTR-01260</t>
        </is>
      </c>
      <c r="B1237" t="inlineStr">
        <is>
          <t>CLI-01017</t>
        </is>
      </c>
      <c r="C1237" t="inlineStr">
        <is>
          <t>Île-de-France</t>
        </is>
      </c>
      <c r="D1237" t="inlineStr">
        <is>
          <t>auto</t>
        </is>
      </c>
      <c r="E1237" t="inlineStr">
        <is>
          <t>LOA</t>
        </is>
      </c>
      <c r="F1237" t="inlineStr">
        <is>
          <t>2024-07-02</t>
        </is>
      </c>
      <c r="G1237" s="4" t="n">
        <v>26551.53</v>
      </c>
      <c r="H1237" s="4">
        <f>MAX(0,G1237-SUMIFS('Paiements contrat'!$B:$B,'Paiements contrat'!$A:$A,A1237))</f>
        <v/>
      </c>
      <c r="I1237" s="4" t="n">
        <v>12846.83</v>
      </c>
      <c r="J1237" t="inlineStr">
        <is>
          <t>actif</t>
        </is>
      </c>
    </row>
    <row r="1238">
      <c r="A1238" t="inlineStr">
        <is>
          <t>CTR-01261</t>
        </is>
      </c>
      <c r="B1238" t="inlineStr">
        <is>
          <t>CLI-00016</t>
        </is>
      </c>
      <c r="C1238" t="inlineStr">
        <is>
          <t>Réunion</t>
        </is>
      </c>
      <c r="D1238" t="inlineStr">
        <is>
          <t>auto</t>
        </is>
      </c>
      <c r="E1238" t="inlineStr">
        <is>
          <t>LOA</t>
        </is>
      </c>
      <c r="F1238" t="inlineStr">
        <is>
          <t>2024-08-11</t>
        </is>
      </c>
      <c r="G1238" s="4" t="n">
        <v>60488.72</v>
      </c>
      <c r="H1238" s="4">
        <f>MAX(0,G1238-SUMIFS('Paiements contrat'!$B:$B,'Paiements contrat'!$A:$A,A1238))</f>
        <v/>
      </c>
      <c r="I1238" s="4" t="n">
        <v>38050.92238297348</v>
      </c>
      <c r="J1238" t="inlineStr">
        <is>
          <t>actif</t>
        </is>
      </c>
    </row>
    <row r="1239">
      <c r="A1239" t="inlineStr">
        <is>
          <t>CTR-01262</t>
        </is>
      </c>
      <c r="B1239" t="inlineStr">
        <is>
          <t>CLI-00318</t>
        </is>
      </c>
      <c r="C1239" t="inlineStr">
        <is>
          <t>Guyane</t>
        </is>
      </c>
      <c r="D1239" t="inlineStr">
        <is>
          <t>materiel</t>
        </is>
      </c>
      <c r="E1239" t="inlineStr">
        <is>
          <t>crédit-bail</t>
        </is>
      </c>
      <c r="F1239" t="inlineStr">
        <is>
          <t>2025-05-07</t>
        </is>
      </c>
      <c r="G1239" s="4" t="n">
        <v>176129.77</v>
      </c>
      <c r="H1239" s="4">
        <f>MAX(0,G1239-SUMIFS('Paiements contrat'!$B:$B,'Paiements contrat'!$A:$A,A1239))</f>
        <v/>
      </c>
      <c r="I1239" s="4" t="n">
        <v>99189.86999999998</v>
      </c>
      <c r="J1239" t="inlineStr">
        <is>
          <t>actif</t>
        </is>
      </c>
    </row>
    <row r="1240">
      <c r="A1240" t="inlineStr">
        <is>
          <t>CTR-01263</t>
        </is>
      </c>
      <c r="B1240" t="inlineStr">
        <is>
          <t>CLI-01201</t>
        </is>
      </c>
      <c r="C1240" t="inlineStr">
        <is>
          <t>Guadeloupe</t>
        </is>
      </c>
      <c r="D1240" t="inlineStr">
        <is>
          <t>auto</t>
        </is>
      </c>
      <c r="E1240" t="inlineStr">
        <is>
          <t>LOA</t>
        </is>
      </c>
      <c r="F1240" t="inlineStr">
        <is>
          <t>2025-04-15</t>
        </is>
      </c>
      <c r="G1240" s="4" t="n">
        <v>45354.6</v>
      </c>
      <c r="H1240" s="4">
        <f>MAX(0,G1240-SUMIFS('Paiements contrat'!$B:$B,'Paiements contrat'!$A:$A,A1240))</f>
        <v/>
      </c>
      <c r="I1240" s="4" t="n">
        <v>36635.43245273659</v>
      </c>
      <c r="J1240" t="inlineStr">
        <is>
          <t>actif</t>
        </is>
      </c>
    </row>
    <row r="1241">
      <c r="A1241" t="inlineStr">
        <is>
          <t>CTR-01264</t>
        </is>
      </c>
      <c r="B1241" t="inlineStr">
        <is>
          <t>CLI-00947</t>
        </is>
      </c>
      <c r="C1241" t="inlineStr">
        <is>
          <t>Île-de-France</t>
        </is>
      </c>
      <c r="D1241" t="inlineStr">
        <is>
          <t>auto</t>
        </is>
      </c>
      <c r="E1241" t="inlineStr">
        <is>
          <t>LLD</t>
        </is>
      </c>
      <c r="F1241" t="inlineStr">
        <is>
          <t>2024-12-08</t>
        </is>
      </c>
      <c r="G1241" s="4" t="n">
        <v>36492.48</v>
      </c>
      <c r="H1241" s="4">
        <f>MAX(0,G1241-SUMIFS('Paiements contrat'!$B:$B,'Paiements contrat'!$A:$A,A1241))</f>
        <v/>
      </c>
      <c r="I1241" s="4" t="n">
        <v>29047.48</v>
      </c>
      <c r="J1241" t="inlineStr">
        <is>
          <t>actif</t>
        </is>
      </c>
    </row>
    <row r="1242">
      <c r="A1242" t="inlineStr">
        <is>
          <t>CTR-01265</t>
        </is>
      </c>
      <c r="B1242" t="inlineStr">
        <is>
          <t>CLI-00648</t>
        </is>
      </c>
      <c r="C1242" t="inlineStr">
        <is>
          <t>Île-de-France</t>
        </is>
      </c>
      <c r="D1242" t="inlineStr">
        <is>
          <t>auto</t>
        </is>
      </c>
      <c r="E1242" t="inlineStr">
        <is>
          <t>LOA</t>
        </is>
      </c>
      <c r="F1242" t="inlineStr">
        <is>
          <t>2025-09-07</t>
        </is>
      </c>
      <c r="G1242" s="4" t="n">
        <v>9856.309999999999</v>
      </c>
      <c r="H1242" s="4">
        <f>MAX(0,G1242-SUMIFS('Paiements contrat'!$B:$B,'Paiements contrat'!$A:$A,A1242))</f>
        <v/>
      </c>
      <c r="I1242" s="4" t="n">
        <v>8582.24</v>
      </c>
      <c r="J1242" t="inlineStr">
        <is>
          <t>actif</t>
        </is>
      </c>
    </row>
    <row r="1243">
      <c r="A1243" t="inlineStr">
        <is>
          <t>CTR-01266</t>
        </is>
      </c>
      <c r="B1243" t="inlineStr">
        <is>
          <t>CLI-00281</t>
        </is>
      </c>
      <c r="C1243" t="inlineStr">
        <is>
          <t>Île-de-France</t>
        </is>
      </c>
      <c r="D1243" t="inlineStr">
        <is>
          <t>materiel</t>
        </is>
      </c>
      <c r="E1243" t="inlineStr">
        <is>
          <t>crédit-bail</t>
        </is>
      </c>
      <c r="F1243" t="inlineStr">
        <is>
          <t>2025-12-17</t>
        </is>
      </c>
      <c r="G1243" s="4" t="n">
        <v>98848.97</v>
      </c>
      <c r="H1243" s="4">
        <f>MAX(0,G1243-SUMIFS('Paiements contrat'!$B:$B,'Paiements contrat'!$A:$A,A1243))</f>
        <v/>
      </c>
      <c r="I1243" s="4" t="n">
        <v>74763.44</v>
      </c>
      <c r="J1243" t="inlineStr">
        <is>
          <t>actif</t>
        </is>
      </c>
    </row>
    <row r="1244">
      <c r="A1244" t="inlineStr">
        <is>
          <t>CTR-01267</t>
        </is>
      </c>
      <c r="B1244" t="inlineStr">
        <is>
          <t>CLI-00521</t>
        </is>
      </c>
      <c r="C1244" t="inlineStr">
        <is>
          <t>Île-de-France</t>
        </is>
      </c>
      <c r="D1244" t="inlineStr">
        <is>
          <t>auto</t>
        </is>
      </c>
      <c r="E1244" t="inlineStr">
        <is>
          <t>LLD</t>
        </is>
      </c>
      <c r="F1244" t="inlineStr">
        <is>
          <t>2024-04-16</t>
        </is>
      </c>
      <c r="G1244" s="4" t="n">
        <v>30668.57</v>
      </c>
      <c r="H1244" s="4">
        <f>MAX(0,G1244-SUMIFS('Paiements contrat'!$B:$B,'Paiements contrat'!$A:$A,A1244))</f>
        <v/>
      </c>
      <c r="I1244" s="4" t="n">
        <v>16596.77</v>
      </c>
      <c r="J1244" t="inlineStr">
        <is>
          <t>actif</t>
        </is>
      </c>
    </row>
    <row r="1245">
      <c r="A1245" t="inlineStr">
        <is>
          <t>CTR-01268</t>
        </is>
      </c>
      <c r="B1245" t="inlineStr">
        <is>
          <t>CLI-00776</t>
        </is>
      </c>
      <c r="C1245" t="inlineStr">
        <is>
          <t>Île-de-France</t>
        </is>
      </c>
      <c r="D1245" t="inlineStr">
        <is>
          <t>materiel</t>
        </is>
      </c>
      <c r="E1245" t="inlineStr">
        <is>
          <t>crédit-bail</t>
        </is>
      </c>
      <c r="F1245" t="inlineStr">
        <is>
          <t>2024-05-10</t>
        </is>
      </c>
      <c r="G1245" s="4" t="n">
        <v>107487.69</v>
      </c>
      <c r="H1245" s="4">
        <f>MAX(0,G1245-SUMIFS('Paiements contrat'!$B:$B,'Paiements contrat'!$A:$A,A1245))</f>
        <v/>
      </c>
      <c r="I1245" s="4" t="n">
        <v>73761.87</v>
      </c>
      <c r="J1245" t="inlineStr">
        <is>
          <t>contentieux</t>
        </is>
      </c>
    </row>
    <row r="1246">
      <c r="A1246" t="inlineStr">
        <is>
          <t>CTR-01269</t>
        </is>
      </c>
      <c r="B1246" t="inlineStr">
        <is>
          <t>CLI-00908</t>
        </is>
      </c>
      <c r="C1246" t="inlineStr">
        <is>
          <t>Île-de-France</t>
        </is>
      </c>
      <c r="D1246" t="inlineStr">
        <is>
          <t>materiel</t>
        </is>
      </c>
      <c r="E1246" t="inlineStr">
        <is>
          <t>crédit-bail</t>
        </is>
      </c>
      <c r="F1246" t="inlineStr">
        <is>
          <t>2025-11-02</t>
        </is>
      </c>
      <c r="G1246" s="4" t="n">
        <v>38803.53</v>
      </c>
      <c r="H1246" s="4">
        <f>MAX(0,G1246-SUMIFS('Paiements contrat'!$B:$B,'Paiements contrat'!$A:$A,A1246))</f>
        <v/>
      </c>
      <c r="I1246" s="4" t="n">
        <v>34977.79</v>
      </c>
      <c r="J1246" t="inlineStr">
        <is>
          <t>actif</t>
        </is>
      </c>
    </row>
    <row r="1247">
      <c r="A1247" t="inlineStr">
        <is>
          <t>CTR-01270</t>
        </is>
      </c>
      <c r="B1247" t="inlineStr">
        <is>
          <t>CLI-00344</t>
        </is>
      </c>
      <c r="C1247" t="inlineStr">
        <is>
          <t>Guyane</t>
        </is>
      </c>
      <c r="D1247" t="inlineStr">
        <is>
          <t>auto</t>
        </is>
      </c>
      <c r="E1247" t="inlineStr">
        <is>
          <t>LLD</t>
        </is>
      </c>
      <c r="F1247" t="inlineStr">
        <is>
          <t>2025-09-08</t>
        </is>
      </c>
      <c r="G1247" s="4" t="n">
        <v>49218.45</v>
      </c>
      <c r="H1247" s="4">
        <f>MAX(0,G1247-SUMIFS('Paiements contrat'!$B:$B,'Paiements contrat'!$A:$A,A1247))</f>
        <v/>
      </c>
      <c r="I1247" s="4" t="n">
        <v>41909.87488137721</v>
      </c>
      <c r="J1247" t="inlineStr">
        <is>
          <t>actif</t>
        </is>
      </c>
    </row>
    <row r="1248">
      <c r="A1248" t="inlineStr">
        <is>
          <t>CTR-01271</t>
        </is>
      </c>
      <c r="B1248" t="inlineStr">
        <is>
          <t>CLI-00072</t>
        </is>
      </c>
      <c r="C1248" t="inlineStr">
        <is>
          <t>Île-de-France</t>
        </is>
      </c>
      <c r="D1248" t="inlineStr">
        <is>
          <t>materiel</t>
        </is>
      </c>
      <c r="E1248" t="inlineStr">
        <is>
          <t>crédit-bail</t>
        </is>
      </c>
      <c r="F1248" t="inlineStr">
        <is>
          <t>2025-11-13</t>
        </is>
      </c>
      <c r="G1248" s="4" t="n">
        <v>138350.88</v>
      </c>
      <c r="H1248" s="4">
        <f>MAX(0,G1248-SUMIFS('Paiements contrat'!$B:$B,'Paiements contrat'!$A:$A,A1248))</f>
        <v/>
      </c>
      <c r="I1248" s="4" t="n">
        <v>124010.65</v>
      </c>
      <c r="J1248" t="inlineStr">
        <is>
          <t>actif</t>
        </is>
      </c>
    </row>
    <row r="1249">
      <c r="A1249" t="inlineStr">
        <is>
          <t>CTR-01272</t>
        </is>
      </c>
      <c r="B1249" t="inlineStr">
        <is>
          <t>CLI-00828</t>
        </is>
      </c>
      <c r="C1249" t="inlineStr">
        <is>
          <t>Île-de-France</t>
        </is>
      </c>
      <c r="D1249" t="inlineStr">
        <is>
          <t>auto</t>
        </is>
      </c>
      <c r="E1249" t="inlineStr">
        <is>
          <t>LOA</t>
        </is>
      </c>
      <c r="F1249" t="inlineStr">
        <is>
          <t>2026-02-07</t>
        </is>
      </c>
      <c r="G1249" s="4" t="n">
        <v>47197.01</v>
      </c>
      <c r="H1249" s="4">
        <f>MAX(0,G1249-SUMIFS('Paiements contrat'!$B:$B,'Paiements contrat'!$A:$A,A1249))</f>
        <v/>
      </c>
      <c r="I1249" s="4" t="n">
        <v>45947.37</v>
      </c>
      <c r="J1249" t="inlineStr">
        <is>
          <t>actif</t>
        </is>
      </c>
    </row>
    <row r="1250">
      <c r="A1250" t="inlineStr">
        <is>
          <t>CTR-01273</t>
        </is>
      </c>
      <c r="B1250" t="inlineStr">
        <is>
          <t>CLI-00411</t>
        </is>
      </c>
      <c r="C1250" t="inlineStr">
        <is>
          <t>Île-de-France</t>
        </is>
      </c>
      <c r="D1250" t="inlineStr">
        <is>
          <t>auto</t>
        </is>
      </c>
      <c r="E1250" t="inlineStr">
        <is>
          <t>LLD</t>
        </is>
      </c>
      <c r="F1250" t="inlineStr">
        <is>
          <t>2025-07-04</t>
        </is>
      </c>
      <c r="G1250" s="4" t="n">
        <v>36506.91</v>
      </c>
      <c r="H1250" s="4">
        <f>MAX(0,G1250-SUMIFS('Paiements contrat'!$B:$B,'Paiements contrat'!$A:$A,A1250))</f>
        <v/>
      </c>
      <c r="I1250" s="4" t="n">
        <v>29454.63222830744</v>
      </c>
      <c r="J1250" t="inlineStr">
        <is>
          <t>actif</t>
        </is>
      </c>
    </row>
    <row r="1251">
      <c r="A1251" t="inlineStr">
        <is>
          <t>CTR-01274</t>
        </is>
      </c>
      <c r="B1251" t="inlineStr">
        <is>
          <t>CLI-00185</t>
        </is>
      </c>
      <c r="C1251" t="inlineStr">
        <is>
          <t>Île-de-France</t>
        </is>
      </c>
      <c r="D1251" t="inlineStr">
        <is>
          <t>materiel</t>
        </is>
      </c>
      <c r="E1251" t="inlineStr">
        <is>
          <t>crédit-bail</t>
        </is>
      </c>
      <c r="F1251" t="inlineStr">
        <is>
          <t>2026-01-18</t>
        </is>
      </c>
      <c r="G1251" s="4" t="n">
        <v>35675.22</v>
      </c>
      <c r="H1251" s="4">
        <f>MAX(0,G1251-SUMIFS('Paiements contrat'!$B:$B,'Paiements contrat'!$A:$A,A1251))</f>
        <v/>
      </c>
      <c r="I1251" s="4" t="n">
        <v>32881.11</v>
      </c>
      <c r="J1251" t="inlineStr">
        <is>
          <t>actif</t>
        </is>
      </c>
    </row>
    <row r="1252">
      <c r="A1252" t="inlineStr">
        <is>
          <t>CTR-01275</t>
        </is>
      </c>
      <c r="B1252" t="inlineStr">
        <is>
          <t>CLI-00495</t>
        </is>
      </c>
      <c r="C1252" t="inlineStr">
        <is>
          <t>Île-de-France</t>
        </is>
      </c>
      <c r="D1252" t="inlineStr">
        <is>
          <t>auto</t>
        </is>
      </c>
      <c r="E1252" t="inlineStr">
        <is>
          <t>LOA</t>
        </is>
      </c>
      <c r="F1252" t="inlineStr">
        <is>
          <t>2024-04-12</t>
        </is>
      </c>
      <c r="G1252" s="4" t="n">
        <v>54955.49</v>
      </c>
      <c r="H1252" s="4">
        <f>MAX(0,G1252-SUMIFS('Paiements contrat'!$B:$B,'Paiements contrat'!$A:$A,A1252))</f>
        <v/>
      </c>
      <c r="I1252" s="4" t="n">
        <v>2418.5</v>
      </c>
      <c r="J1252" t="inlineStr">
        <is>
          <t>actif</t>
        </is>
      </c>
    </row>
    <row r="1253">
      <c r="A1253" t="inlineStr">
        <is>
          <t>CTR-01276</t>
        </is>
      </c>
      <c r="B1253" t="inlineStr">
        <is>
          <t>CLI-01194</t>
        </is>
      </c>
      <c r="C1253" t="inlineStr">
        <is>
          <t>Guadeloupe</t>
        </is>
      </c>
      <c r="D1253" t="inlineStr">
        <is>
          <t>materiel</t>
        </is>
      </c>
      <c r="E1253" t="inlineStr">
        <is>
          <t>crédit-bail</t>
        </is>
      </c>
      <c r="F1253" t="inlineStr">
        <is>
          <t>2024-05-03</t>
        </is>
      </c>
      <c r="G1253" s="4" t="n">
        <v>134376.24</v>
      </c>
      <c r="H1253" s="4">
        <f>MAX(0,G1253-SUMIFS('Paiements contrat'!$B:$B,'Paiements contrat'!$A:$A,A1253))</f>
        <v/>
      </c>
      <c r="I1253" s="4" t="n">
        <v>7431.369999999995</v>
      </c>
      <c r="J1253" t="inlineStr">
        <is>
          <t>contentieux</t>
        </is>
      </c>
    </row>
    <row r="1254">
      <c r="A1254" t="inlineStr">
        <is>
          <t>CTR-01277</t>
        </is>
      </c>
      <c r="B1254" t="inlineStr">
        <is>
          <t>CLI-01064</t>
        </is>
      </c>
      <c r="C1254" t="inlineStr">
        <is>
          <t>Île-de-France</t>
        </is>
      </c>
      <c r="D1254" t="inlineStr">
        <is>
          <t>bateau</t>
        </is>
      </c>
      <c r="E1254" t="inlineStr">
        <is>
          <t>LOA</t>
        </is>
      </c>
      <c r="F1254" t="inlineStr">
        <is>
          <t>2025-09-19</t>
        </is>
      </c>
      <c r="G1254" s="4" t="n">
        <v>74923.08</v>
      </c>
      <c r="H1254" s="4">
        <f>MAX(0,G1254-SUMIFS('Paiements contrat'!$B:$B,'Paiements contrat'!$A:$A,A1254))</f>
        <v/>
      </c>
      <c r="I1254" s="4" t="n">
        <v>65208.55</v>
      </c>
      <c r="J1254" t="inlineStr">
        <is>
          <t>actif</t>
        </is>
      </c>
    </row>
    <row r="1255">
      <c r="A1255" t="inlineStr">
        <is>
          <t>CTR-01278</t>
        </is>
      </c>
      <c r="B1255" t="inlineStr">
        <is>
          <t>CLI-01027</t>
        </is>
      </c>
      <c r="C1255" t="inlineStr">
        <is>
          <t>Île-de-France</t>
        </is>
      </c>
      <c r="D1255" t="inlineStr">
        <is>
          <t>materiel</t>
        </is>
      </c>
      <c r="E1255" t="inlineStr">
        <is>
          <t>crédit-bail</t>
        </is>
      </c>
      <c r="F1255" t="inlineStr">
        <is>
          <t>2024-06-05</t>
        </is>
      </c>
      <c r="G1255" s="4" t="n">
        <v>73505.34</v>
      </c>
      <c r="H1255" s="4">
        <f>MAX(0,G1255-SUMIFS('Paiements contrat'!$B:$B,'Paiements contrat'!$A:$A,A1255))</f>
        <v/>
      </c>
      <c r="I1255" s="4" t="n">
        <v>28498.75</v>
      </c>
      <c r="J1255" t="inlineStr">
        <is>
          <t>actif</t>
        </is>
      </c>
    </row>
    <row r="1256">
      <c r="A1256" t="inlineStr">
        <is>
          <t>CTR-01279</t>
        </is>
      </c>
      <c r="B1256" t="inlineStr">
        <is>
          <t>CLI-00647</t>
        </is>
      </c>
      <c r="C1256" t="inlineStr">
        <is>
          <t>Île-de-France</t>
        </is>
      </c>
      <c r="D1256" t="inlineStr">
        <is>
          <t>materiel</t>
        </is>
      </c>
      <c r="E1256" t="inlineStr">
        <is>
          <t>crédit-bail</t>
        </is>
      </c>
      <c r="F1256" t="inlineStr">
        <is>
          <t>2025-04-07</t>
        </is>
      </c>
      <c r="G1256" s="4" t="n">
        <v>180670.97</v>
      </c>
      <c r="H1256" s="4">
        <f>MAX(0,G1256-SUMIFS('Paiements contrat'!$B:$B,'Paiements contrat'!$A:$A,A1256))</f>
        <v/>
      </c>
      <c r="I1256" s="4" t="n">
        <v>101254.57</v>
      </c>
      <c r="J1256" t="inlineStr">
        <is>
          <t>actif</t>
        </is>
      </c>
    </row>
    <row r="1257">
      <c r="A1257" t="inlineStr">
        <is>
          <t>CTR-01280</t>
        </is>
      </c>
      <c r="B1257" t="inlineStr">
        <is>
          <t>CLI-00050</t>
        </is>
      </c>
      <c r="C1257" t="inlineStr">
        <is>
          <t>Guyane</t>
        </is>
      </c>
      <c r="D1257" t="inlineStr">
        <is>
          <t>materiel</t>
        </is>
      </c>
      <c r="E1257" t="inlineStr">
        <is>
          <t>crédit-bail</t>
        </is>
      </c>
      <c r="F1257" t="inlineStr">
        <is>
          <t>2025-06-03</t>
        </is>
      </c>
      <c r="G1257" s="4" t="n">
        <v>42174.92</v>
      </c>
      <c r="H1257" s="4">
        <f>MAX(0,G1257-SUMIFS('Paiements contrat'!$B:$B,'Paiements contrat'!$A:$A,A1257))</f>
        <v/>
      </c>
      <c r="I1257" s="4" t="n">
        <v>36347.3</v>
      </c>
      <c r="J1257" t="inlineStr">
        <is>
          <t>actif</t>
        </is>
      </c>
    </row>
    <row r="1258">
      <c r="A1258" t="inlineStr">
        <is>
          <t>CTR-01281</t>
        </is>
      </c>
      <c r="B1258" t="inlineStr">
        <is>
          <t>CLI-00186</t>
        </is>
      </c>
      <c r="C1258" t="inlineStr">
        <is>
          <t>Guyane</t>
        </is>
      </c>
      <c r="D1258" t="inlineStr">
        <is>
          <t>materiel</t>
        </is>
      </c>
      <c r="E1258" t="inlineStr">
        <is>
          <t>crédit-bail</t>
        </is>
      </c>
      <c r="F1258" t="inlineStr">
        <is>
          <t>2024-08-05</t>
        </is>
      </c>
      <c r="G1258" s="4" t="n">
        <v>87151.44</v>
      </c>
      <c r="H1258" s="4">
        <f>MAX(0,G1258-SUMIFS('Paiements contrat'!$B:$B,'Paiements contrat'!$A:$A,A1258))</f>
        <v/>
      </c>
      <c r="I1258" s="4" t="n">
        <v>55819.54</v>
      </c>
      <c r="J1258" t="inlineStr">
        <is>
          <t>actif</t>
        </is>
      </c>
    </row>
    <row r="1259">
      <c r="A1259" t="inlineStr">
        <is>
          <t>CTR-01282</t>
        </is>
      </c>
      <c r="B1259" t="inlineStr">
        <is>
          <t>CLI-01233</t>
        </is>
      </c>
      <c r="C1259" t="inlineStr">
        <is>
          <t>Guadeloupe</t>
        </is>
      </c>
      <c r="D1259" t="inlineStr">
        <is>
          <t>auto</t>
        </is>
      </c>
      <c r="E1259" t="inlineStr">
        <is>
          <t>LOA</t>
        </is>
      </c>
      <c r="F1259" t="inlineStr">
        <is>
          <t>2026-02-03</t>
        </is>
      </c>
      <c r="G1259" s="4" t="n">
        <v>13724.5</v>
      </c>
      <c r="H1259" s="4">
        <f>MAX(0,G1259-SUMIFS('Paiements contrat'!$B:$B,'Paiements contrat'!$A:$A,A1259))</f>
        <v/>
      </c>
      <c r="I1259" s="4" t="n">
        <v>13189.06</v>
      </c>
      <c r="J1259" t="inlineStr">
        <is>
          <t>actif</t>
        </is>
      </c>
    </row>
    <row r="1260">
      <c r="A1260" t="inlineStr">
        <is>
          <t>CTR-01283</t>
        </is>
      </c>
      <c r="B1260" t="inlineStr">
        <is>
          <t>CLI-00387</t>
        </is>
      </c>
      <c r="C1260" t="inlineStr">
        <is>
          <t>Guyane</t>
        </is>
      </c>
      <c r="D1260" t="inlineStr">
        <is>
          <t>materiel</t>
        </is>
      </c>
      <c r="E1260" t="inlineStr">
        <is>
          <t>crédit-bail</t>
        </is>
      </c>
      <c r="F1260" t="inlineStr">
        <is>
          <t>2025-10-27</t>
        </is>
      </c>
      <c r="G1260" s="4" t="n">
        <v>81784.13</v>
      </c>
      <c r="H1260" s="4">
        <f>MAX(0,G1260-SUMIFS('Paiements contrat'!$B:$B,'Paiements contrat'!$A:$A,A1260))</f>
        <v/>
      </c>
      <c r="I1260" s="4" t="n">
        <v>65893.33</v>
      </c>
      <c r="J1260" t="inlineStr">
        <is>
          <t>actif</t>
        </is>
      </c>
    </row>
    <row r="1261">
      <c r="A1261" t="inlineStr">
        <is>
          <t>CTR-01284</t>
        </is>
      </c>
      <c r="B1261" t="inlineStr">
        <is>
          <t>CLI-00749</t>
        </is>
      </c>
      <c r="C1261" t="inlineStr">
        <is>
          <t>Île-de-France</t>
        </is>
      </c>
      <c r="D1261" t="inlineStr">
        <is>
          <t>materiel</t>
        </is>
      </c>
      <c r="E1261" t="inlineStr">
        <is>
          <t>crédit-bail</t>
        </is>
      </c>
      <c r="F1261" t="inlineStr">
        <is>
          <t>2025-02-25</t>
        </is>
      </c>
      <c r="G1261" s="4" t="n">
        <v>14360.3</v>
      </c>
      <c r="H1261" s="4">
        <f>MAX(0,G1261-SUMIFS('Paiements contrat'!$B:$B,'Paiements contrat'!$A:$A,A1261))</f>
        <v/>
      </c>
      <c r="I1261" s="4" t="n">
        <v>5654.76</v>
      </c>
      <c r="J1261" t="inlineStr">
        <is>
          <t>contentieux</t>
        </is>
      </c>
    </row>
    <row r="1262">
      <c r="A1262" t="inlineStr">
        <is>
          <t>CTR-01285</t>
        </is>
      </c>
      <c r="B1262" t="inlineStr">
        <is>
          <t>CLI-00634</t>
        </is>
      </c>
      <c r="C1262" t="inlineStr">
        <is>
          <t>Île-de-France</t>
        </is>
      </c>
      <c r="D1262" t="inlineStr">
        <is>
          <t>auto</t>
        </is>
      </c>
      <c r="E1262" t="inlineStr">
        <is>
          <t>LOA</t>
        </is>
      </c>
      <c r="F1262" t="inlineStr">
        <is>
          <t>2025-09-08</t>
        </is>
      </c>
      <c r="G1262" s="4" t="n">
        <v>69013.47</v>
      </c>
      <c r="H1262" s="4">
        <f>MAX(0,G1262-SUMIFS('Paiements contrat'!$B:$B,'Paiements contrat'!$A:$A,A1262))</f>
        <v/>
      </c>
      <c r="I1262" s="4" t="n">
        <v>55892.11</v>
      </c>
      <c r="J1262" t="inlineStr">
        <is>
          <t>actif</t>
        </is>
      </c>
    </row>
    <row r="1263">
      <c r="A1263" t="inlineStr">
        <is>
          <t>CTR-01286</t>
        </is>
      </c>
      <c r="B1263" t="inlineStr">
        <is>
          <t>CLI-00350</t>
        </is>
      </c>
      <c r="C1263" t="inlineStr">
        <is>
          <t>Île-de-France</t>
        </is>
      </c>
      <c r="D1263" t="inlineStr">
        <is>
          <t>auto</t>
        </is>
      </c>
      <c r="E1263" t="inlineStr">
        <is>
          <t>LOA</t>
        </is>
      </c>
      <c r="F1263" t="inlineStr">
        <is>
          <t>2025-03-03</t>
        </is>
      </c>
      <c r="G1263" s="4" t="n">
        <v>59263.81</v>
      </c>
      <c r="H1263" s="4">
        <f>MAX(0,G1263-SUMIFS('Paiements contrat'!$B:$B,'Paiements contrat'!$A:$A,A1263))</f>
        <v/>
      </c>
      <c r="I1263" s="4" t="n">
        <v>33032.85</v>
      </c>
      <c r="J1263" t="inlineStr">
        <is>
          <t>actif</t>
        </is>
      </c>
    </row>
    <row r="1264">
      <c r="A1264" t="inlineStr">
        <is>
          <t>CTR-01287</t>
        </is>
      </c>
      <c r="B1264" t="inlineStr">
        <is>
          <t>CLI-01016</t>
        </is>
      </c>
      <c r="C1264" t="inlineStr">
        <is>
          <t>Île-de-France</t>
        </is>
      </c>
      <c r="D1264" t="inlineStr">
        <is>
          <t>auto</t>
        </is>
      </c>
      <c r="E1264" t="inlineStr">
        <is>
          <t>LOA</t>
        </is>
      </c>
      <c r="F1264" t="inlineStr">
        <is>
          <t>2025-09-03</t>
        </is>
      </c>
      <c r="G1264" s="4" t="n">
        <v>60724.5</v>
      </c>
      <c r="H1264" s="4">
        <f>MAX(0,G1264-SUMIFS('Paiements contrat'!$B:$B,'Paiements contrat'!$A:$A,A1264))</f>
        <v/>
      </c>
      <c r="I1264" s="4" t="n">
        <v>50891.33</v>
      </c>
      <c r="J1264" t="inlineStr">
        <is>
          <t>actif</t>
        </is>
      </c>
    </row>
    <row r="1265">
      <c r="A1265" t="inlineStr">
        <is>
          <t>CTR-01288</t>
        </is>
      </c>
      <c r="B1265" t="inlineStr">
        <is>
          <t>CLI-01437</t>
        </is>
      </c>
      <c r="C1265" t="inlineStr">
        <is>
          <t>Île-de-France</t>
        </is>
      </c>
      <c r="D1265" t="inlineStr">
        <is>
          <t>auto</t>
        </is>
      </c>
      <c r="E1265" t="inlineStr">
        <is>
          <t>LLD</t>
        </is>
      </c>
      <c r="F1265" t="inlineStr">
        <is>
          <t>2026-01-07</t>
        </is>
      </c>
      <c r="G1265" s="4" t="n">
        <v>21700.93</v>
      </c>
      <c r="H1265" s="4">
        <f>MAX(0,G1265-SUMIFS('Paiements contrat'!$B:$B,'Paiements contrat'!$A:$A,A1265))</f>
        <v/>
      </c>
      <c r="I1265" s="4" t="n">
        <v>19995.59</v>
      </c>
      <c r="J1265" t="inlineStr">
        <is>
          <t>actif</t>
        </is>
      </c>
    </row>
    <row r="1266">
      <c r="A1266" t="inlineStr">
        <is>
          <t>CTR-01289</t>
        </is>
      </c>
      <c r="B1266" t="inlineStr">
        <is>
          <t>CLI-01072</t>
        </is>
      </c>
      <c r="C1266" t="inlineStr">
        <is>
          <t>Réunion</t>
        </is>
      </c>
      <c r="D1266" t="inlineStr">
        <is>
          <t>bateau</t>
        </is>
      </c>
      <c r="E1266" t="inlineStr">
        <is>
          <t>LOA</t>
        </is>
      </c>
      <c r="F1266" t="inlineStr">
        <is>
          <t>2025-03-02</t>
        </is>
      </c>
      <c r="G1266" s="4" t="n">
        <v>189304.69</v>
      </c>
      <c r="H1266" s="4">
        <f>MAX(0,G1266-SUMIFS('Paiements contrat'!$B:$B,'Paiements contrat'!$A:$A,A1266))</f>
        <v/>
      </c>
      <c r="I1266" s="4" t="n">
        <v>129281.02</v>
      </c>
      <c r="J1266" t="inlineStr">
        <is>
          <t>actif</t>
        </is>
      </c>
    </row>
    <row r="1267">
      <c r="A1267" t="inlineStr">
        <is>
          <t>CTR-01290</t>
        </is>
      </c>
      <c r="B1267" t="inlineStr">
        <is>
          <t>CLI-00979</t>
        </is>
      </c>
      <c r="C1267" t="inlineStr">
        <is>
          <t>Île-de-France</t>
        </is>
      </c>
      <c r="D1267" t="inlineStr">
        <is>
          <t>auto</t>
        </is>
      </c>
      <c r="E1267" t="inlineStr">
        <is>
          <t>LOA</t>
        </is>
      </c>
      <c r="F1267" t="inlineStr">
        <is>
          <t>2026-01-01</t>
        </is>
      </c>
      <c r="G1267" s="4" t="n">
        <v>41759.29</v>
      </c>
      <c r="H1267" s="4">
        <f>MAX(0,G1267-SUMIFS('Paiements contrat'!$B:$B,'Paiements contrat'!$A:$A,A1267))</f>
        <v/>
      </c>
      <c r="I1267" s="4" t="n">
        <v>40499.27</v>
      </c>
      <c r="J1267" t="inlineStr">
        <is>
          <t>actif</t>
        </is>
      </c>
    </row>
    <row r="1268">
      <c r="A1268" t="inlineStr">
        <is>
          <t>CTR-01291</t>
        </is>
      </c>
      <c r="B1268" t="inlineStr">
        <is>
          <t>CLI-01225</t>
        </is>
      </c>
      <c r="C1268" t="inlineStr">
        <is>
          <t>Réunion</t>
        </is>
      </c>
      <c r="D1268" t="inlineStr">
        <is>
          <t>materiel</t>
        </is>
      </c>
      <c r="E1268" t="inlineStr">
        <is>
          <t>crédit-bail</t>
        </is>
      </c>
      <c r="F1268" t="inlineStr">
        <is>
          <t>2025-07-09</t>
        </is>
      </c>
      <c r="G1268" s="4" t="n">
        <v>53685.8</v>
      </c>
      <c r="H1268" s="4">
        <f>MAX(0,G1268-SUMIFS('Paiements contrat'!$B:$B,'Paiements contrat'!$A:$A,A1268))</f>
        <v/>
      </c>
      <c r="I1268" s="4" t="n">
        <v>22779.85</v>
      </c>
      <c r="J1268" t="inlineStr">
        <is>
          <t>actif</t>
        </is>
      </c>
    </row>
    <row r="1269">
      <c r="A1269" t="inlineStr">
        <is>
          <t>CTR-01292</t>
        </is>
      </c>
      <c r="B1269" t="inlineStr">
        <is>
          <t>CLI-00647</t>
        </is>
      </c>
      <c r="C1269" t="inlineStr">
        <is>
          <t>Île-de-France</t>
        </is>
      </c>
      <c r="D1269" t="inlineStr">
        <is>
          <t>bateau</t>
        </is>
      </c>
      <c r="E1269" t="inlineStr">
        <is>
          <t>LOA</t>
        </is>
      </c>
      <c r="F1269" t="inlineStr">
        <is>
          <t>2025-08-20</t>
        </is>
      </c>
      <c r="G1269" s="4" t="n">
        <v>218065.14</v>
      </c>
      <c r="H1269" s="4">
        <f>MAX(0,G1269-SUMIFS('Paiements contrat'!$B:$B,'Paiements contrat'!$A:$A,A1269))</f>
        <v/>
      </c>
      <c r="I1269" s="4" t="n">
        <v>198854.14</v>
      </c>
      <c r="J1269" t="inlineStr">
        <is>
          <t>actif</t>
        </is>
      </c>
    </row>
    <row r="1270">
      <c r="A1270" t="inlineStr">
        <is>
          <t>CTR-01293</t>
        </is>
      </c>
      <c r="B1270" t="inlineStr">
        <is>
          <t>CLI-00385</t>
        </is>
      </c>
      <c r="C1270" t="inlineStr">
        <is>
          <t>Île-de-France</t>
        </is>
      </c>
      <c r="D1270" t="inlineStr">
        <is>
          <t>materiel</t>
        </is>
      </c>
      <c r="E1270" t="inlineStr">
        <is>
          <t>crédit-bail</t>
        </is>
      </c>
      <c r="F1270" t="inlineStr">
        <is>
          <t>2025-05-10</t>
        </is>
      </c>
      <c r="G1270" s="4" t="n">
        <v>20635.77</v>
      </c>
      <c r="H1270" s="4">
        <f>MAX(0,G1270-SUMIFS('Paiements contrat'!$B:$B,'Paiements contrat'!$A:$A,A1270))</f>
        <v/>
      </c>
      <c r="I1270" s="4" t="n">
        <v>15485.43134209459</v>
      </c>
      <c r="J1270" t="inlineStr">
        <is>
          <t>actif</t>
        </is>
      </c>
    </row>
    <row r="1271">
      <c r="A1271" t="inlineStr">
        <is>
          <t>CTR-01294</t>
        </is>
      </c>
      <c r="B1271" t="inlineStr">
        <is>
          <t>CLI-00959</t>
        </is>
      </c>
      <c r="C1271" t="inlineStr">
        <is>
          <t>Île-de-France</t>
        </is>
      </c>
      <c r="D1271" t="inlineStr">
        <is>
          <t>materiel</t>
        </is>
      </c>
      <c r="E1271" t="inlineStr">
        <is>
          <t>crédit-bail</t>
        </is>
      </c>
      <c r="F1271" t="inlineStr">
        <is>
          <t>2025-10-26</t>
        </is>
      </c>
      <c r="G1271" s="4" t="n">
        <v>54982.11</v>
      </c>
      <c r="H1271" s="4">
        <f>MAX(0,G1271-SUMIFS('Paiements contrat'!$B:$B,'Paiements contrat'!$A:$A,A1271))</f>
        <v/>
      </c>
      <c r="I1271" s="4" t="n">
        <v>43779.04</v>
      </c>
      <c r="J1271" t="inlineStr">
        <is>
          <t>actif</t>
        </is>
      </c>
    </row>
    <row r="1272">
      <c r="A1272" t="inlineStr">
        <is>
          <t>CTR-01295</t>
        </is>
      </c>
      <c r="B1272" t="inlineStr">
        <is>
          <t>CLI-00500</t>
        </is>
      </c>
      <c r="C1272" t="inlineStr">
        <is>
          <t>Île-de-France</t>
        </is>
      </c>
      <c r="D1272" t="inlineStr">
        <is>
          <t>auto</t>
        </is>
      </c>
      <c r="E1272" t="inlineStr">
        <is>
          <t>LOA</t>
        </is>
      </c>
      <c r="F1272" t="inlineStr">
        <is>
          <t>2024-04-01</t>
        </is>
      </c>
      <c r="G1272" s="4" t="n">
        <v>60499.48</v>
      </c>
      <c r="H1272" s="4">
        <f>MAX(0,G1272-SUMIFS('Paiements contrat'!$B:$B,'Paiements contrat'!$A:$A,A1272))</f>
        <v/>
      </c>
      <c r="I1272" s="4" t="n">
        <v>2629.810000000005</v>
      </c>
      <c r="J1272" t="inlineStr">
        <is>
          <t>actif</t>
        </is>
      </c>
    </row>
    <row r="1273">
      <c r="A1273" t="inlineStr">
        <is>
          <t>CTR-01296</t>
        </is>
      </c>
      <c r="B1273" t="inlineStr">
        <is>
          <t>CLI-00129</t>
        </is>
      </c>
      <c r="C1273" t="inlineStr">
        <is>
          <t>Guadeloupe</t>
        </is>
      </c>
      <c r="D1273" t="inlineStr">
        <is>
          <t>materiel</t>
        </is>
      </c>
      <c r="E1273" t="inlineStr">
        <is>
          <t>crédit-bail</t>
        </is>
      </c>
      <c r="F1273" t="inlineStr">
        <is>
          <t>2024-10-01</t>
        </is>
      </c>
      <c r="G1273" s="4" t="n">
        <v>64915.6</v>
      </c>
      <c r="H1273" s="4">
        <f>MAX(0,G1273-SUMIFS('Paiements contrat'!$B:$B,'Paiements contrat'!$A:$A,A1273))</f>
        <v/>
      </c>
      <c r="I1273" s="4" t="n">
        <v>24866.15</v>
      </c>
      <c r="J1273" t="inlineStr">
        <is>
          <t>actif</t>
        </is>
      </c>
    </row>
    <row r="1274">
      <c r="A1274" t="inlineStr">
        <is>
          <t>CTR-01297</t>
        </is>
      </c>
      <c r="B1274" t="inlineStr">
        <is>
          <t>CLI-00872</t>
        </is>
      </c>
      <c r="C1274" t="inlineStr">
        <is>
          <t>Île-de-France</t>
        </is>
      </c>
      <c r="D1274" t="inlineStr">
        <is>
          <t>auto</t>
        </is>
      </c>
      <c r="E1274" t="inlineStr">
        <is>
          <t>LOA</t>
        </is>
      </c>
      <c r="F1274" t="inlineStr">
        <is>
          <t>2025-12-14</t>
        </is>
      </c>
      <c r="G1274" s="4" t="n">
        <v>62178.73</v>
      </c>
      <c r="H1274" s="4">
        <f>MAX(0,G1274-SUMIFS('Paiements contrat'!$B:$B,'Paiements contrat'!$A:$A,A1274))</f>
        <v/>
      </c>
      <c r="I1274" s="4" t="n">
        <v>54912.07000000001</v>
      </c>
      <c r="J1274" t="inlineStr">
        <is>
          <t>actif</t>
        </is>
      </c>
    </row>
    <row r="1275">
      <c r="A1275" t="inlineStr">
        <is>
          <t>CTR-01298</t>
        </is>
      </c>
      <c r="B1275" t="inlineStr">
        <is>
          <t>CLI-01445</t>
        </is>
      </c>
      <c r="C1275" t="inlineStr">
        <is>
          <t>Île-de-France</t>
        </is>
      </c>
      <c r="D1275" t="inlineStr">
        <is>
          <t>auto</t>
        </is>
      </c>
      <c r="E1275" t="inlineStr">
        <is>
          <t>LLD</t>
        </is>
      </c>
      <c r="F1275" t="inlineStr">
        <is>
          <t>2026-02-01</t>
        </is>
      </c>
      <c r="G1275" s="4" t="n">
        <v>40799.31</v>
      </c>
      <c r="H1275" s="4">
        <f>MAX(0,G1275-SUMIFS('Paiements contrat'!$B:$B,'Paiements contrat'!$A:$A,A1275))</f>
        <v/>
      </c>
      <c r="I1275" s="4" t="n">
        <v>39188.59</v>
      </c>
      <c r="J1275" t="inlineStr">
        <is>
          <t>actif</t>
        </is>
      </c>
    </row>
    <row r="1276">
      <c r="A1276" t="inlineStr">
        <is>
          <t>CTR-01299</t>
        </is>
      </c>
      <c r="B1276" t="inlineStr">
        <is>
          <t>CLI-01432</t>
        </is>
      </c>
      <c r="C1276" t="inlineStr">
        <is>
          <t>Guyane</t>
        </is>
      </c>
      <c r="D1276" t="inlineStr">
        <is>
          <t>auto</t>
        </is>
      </c>
      <c r="E1276" t="inlineStr">
        <is>
          <t>LLD</t>
        </is>
      </c>
      <c r="F1276" t="inlineStr">
        <is>
          <t>2026-03-06</t>
        </is>
      </c>
      <c r="G1276" s="4" t="n">
        <v>67809.82000000001</v>
      </c>
      <c r="H1276" s="4">
        <f>MAX(0,G1276-SUMIFS('Paiements contrat'!$B:$B,'Paiements contrat'!$A:$A,A1276))</f>
        <v/>
      </c>
      <c r="I1276" s="4" t="n">
        <v>67809.82000000001</v>
      </c>
      <c r="J1276" t="inlineStr">
        <is>
          <t>actif</t>
        </is>
      </c>
    </row>
    <row r="1277">
      <c r="A1277" t="inlineStr">
        <is>
          <t>CTR-01300</t>
        </is>
      </c>
      <c r="B1277" t="inlineStr">
        <is>
          <t>CLI-00589</t>
        </is>
      </c>
      <c r="C1277" t="inlineStr">
        <is>
          <t>Île-de-France</t>
        </is>
      </c>
      <c r="D1277" t="inlineStr">
        <is>
          <t>auto</t>
        </is>
      </c>
      <c r="E1277" t="inlineStr">
        <is>
          <t>LOA</t>
        </is>
      </c>
      <c r="F1277" t="inlineStr">
        <is>
          <t>2026-02-11</t>
        </is>
      </c>
      <c r="G1277" s="4" t="n">
        <v>21262.12</v>
      </c>
      <c r="H1277" s="4">
        <f>MAX(0,G1277-SUMIFS('Paiements contrat'!$B:$B,'Paiements contrat'!$A:$A,A1277))</f>
        <v/>
      </c>
      <c r="I1277" s="4" t="n">
        <v>20695.74</v>
      </c>
      <c r="J1277" t="inlineStr">
        <is>
          <t>actif</t>
        </is>
      </c>
    </row>
    <row r="1278">
      <c r="A1278" t="inlineStr">
        <is>
          <t>CTR-01301</t>
        </is>
      </c>
      <c r="B1278" t="inlineStr">
        <is>
          <t>CLI-00526</t>
        </is>
      </c>
      <c r="C1278" t="inlineStr">
        <is>
          <t>Île-de-France</t>
        </is>
      </c>
      <c r="D1278" t="inlineStr">
        <is>
          <t>materiel</t>
        </is>
      </c>
      <c r="E1278" t="inlineStr">
        <is>
          <t>crédit-bail</t>
        </is>
      </c>
      <c r="F1278" t="inlineStr">
        <is>
          <t>2024-12-04</t>
        </is>
      </c>
      <c r="G1278" s="4" t="n">
        <v>54460.92</v>
      </c>
      <c r="H1278" s="4">
        <f>MAX(0,G1278-SUMIFS('Paiements contrat'!$B:$B,'Paiements contrat'!$A:$A,A1278))</f>
        <v/>
      </c>
      <c r="I1278" s="4" t="n">
        <v>44086.41</v>
      </c>
      <c r="J1278" t="inlineStr">
        <is>
          <t>actif</t>
        </is>
      </c>
    </row>
    <row r="1279">
      <c r="A1279" t="inlineStr">
        <is>
          <t>CTR-01302</t>
        </is>
      </c>
      <c r="B1279" t="inlineStr">
        <is>
          <t>CLI-00576</t>
        </is>
      </c>
      <c r="C1279" t="inlineStr">
        <is>
          <t>Martinique</t>
        </is>
      </c>
      <c r="D1279" t="inlineStr">
        <is>
          <t>materiel</t>
        </is>
      </c>
      <c r="E1279" t="inlineStr">
        <is>
          <t>crédit-bail</t>
        </is>
      </c>
      <c r="F1279" t="inlineStr">
        <is>
          <t>2024-08-23</t>
        </is>
      </c>
      <c r="G1279" s="4" t="n">
        <v>85648.64</v>
      </c>
      <c r="H1279" s="4">
        <f>MAX(0,G1279-SUMIFS('Paiements contrat'!$B:$B,'Paiements contrat'!$A:$A,A1279))</f>
        <v/>
      </c>
      <c r="I1279" s="4" t="n">
        <v>39240.94910284653</v>
      </c>
      <c r="J1279" t="inlineStr">
        <is>
          <t>actif</t>
        </is>
      </c>
    </row>
    <row r="1280">
      <c r="A1280" t="inlineStr">
        <is>
          <t>CTR-01303</t>
        </is>
      </c>
      <c r="B1280" t="inlineStr">
        <is>
          <t>CLI-00322</t>
        </is>
      </c>
      <c r="C1280" t="inlineStr">
        <is>
          <t>Île-de-France</t>
        </is>
      </c>
      <c r="D1280" t="inlineStr">
        <is>
          <t>materiel</t>
        </is>
      </c>
      <c r="E1280" t="inlineStr">
        <is>
          <t>crédit-bail</t>
        </is>
      </c>
      <c r="F1280" t="inlineStr">
        <is>
          <t>2025-08-03</t>
        </is>
      </c>
      <c r="G1280" s="4" t="n">
        <v>90239.7</v>
      </c>
      <c r="H1280" s="4">
        <f>MAX(0,G1280-SUMIFS('Paiements contrat'!$B:$B,'Paiements contrat'!$A:$A,A1280))</f>
        <v/>
      </c>
      <c r="I1280" s="4" t="n">
        <v>56456.61</v>
      </c>
      <c r="J1280" t="inlineStr">
        <is>
          <t>contentieux</t>
        </is>
      </c>
    </row>
    <row r="1281">
      <c r="A1281" t="inlineStr">
        <is>
          <t>CTR-01304</t>
        </is>
      </c>
      <c r="B1281" t="inlineStr">
        <is>
          <t>CLI-00419</t>
        </is>
      </c>
      <c r="C1281" t="inlineStr">
        <is>
          <t>Île-de-France</t>
        </is>
      </c>
      <c r="D1281" t="inlineStr">
        <is>
          <t>auto</t>
        </is>
      </c>
      <c r="E1281" t="inlineStr">
        <is>
          <t>LLD</t>
        </is>
      </c>
      <c r="F1281" t="inlineStr">
        <is>
          <t>2025-12-24</t>
        </is>
      </c>
      <c r="G1281" s="4" t="n">
        <v>72252.03999999999</v>
      </c>
      <c r="H1281" s="4">
        <f>MAX(0,G1281-SUMIFS('Paiements contrat'!$B:$B,'Paiements contrat'!$A:$A,A1281))</f>
        <v/>
      </c>
      <c r="I1281" s="4" t="n">
        <v>68119.82999999999</v>
      </c>
      <c r="J1281" t="inlineStr">
        <is>
          <t>actif</t>
        </is>
      </c>
    </row>
    <row r="1282">
      <c r="A1282" t="inlineStr">
        <is>
          <t>CTR-01305</t>
        </is>
      </c>
      <c r="B1282" t="inlineStr">
        <is>
          <t>CLI-00109</t>
        </is>
      </c>
      <c r="C1282" t="inlineStr">
        <is>
          <t>Réunion</t>
        </is>
      </c>
      <c r="D1282" t="inlineStr">
        <is>
          <t>auto</t>
        </is>
      </c>
      <c r="E1282" t="inlineStr">
        <is>
          <t>LOA</t>
        </is>
      </c>
      <c r="F1282" t="inlineStr">
        <is>
          <t>2026-02-24</t>
        </is>
      </c>
      <c r="G1282" s="4" t="n">
        <v>61668.85</v>
      </c>
      <c r="H1282" s="4">
        <f>MAX(0,G1282-SUMIFS('Paiements contrat'!$B:$B,'Paiements contrat'!$A:$A,A1282))</f>
        <v/>
      </c>
      <c r="I1282" s="4" t="n">
        <v>60056.98</v>
      </c>
      <c r="J1282" t="inlineStr">
        <is>
          <t>actif</t>
        </is>
      </c>
    </row>
    <row r="1283">
      <c r="A1283" t="inlineStr">
        <is>
          <t>CTR-01306</t>
        </is>
      </c>
      <c r="B1283" t="inlineStr">
        <is>
          <t>CLI-01104</t>
        </is>
      </c>
      <c r="C1283" t="inlineStr">
        <is>
          <t>Martinique</t>
        </is>
      </c>
      <c r="D1283" t="inlineStr">
        <is>
          <t>materiel</t>
        </is>
      </c>
      <c r="E1283" t="inlineStr">
        <is>
          <t>crédit-bail</t>
        </is>
      </c>
      <c r="F1283" t="inlineStr">
        <is>
          <t>2024-11-17</t>
        </is>
      </c>
      <c r="G1283" s="4" t="n">
        <v>100337.59</v>
      </c>
      <c r="H1283" s="4">
        <f>MAX(0,G1283-SUMIFS('Paiements contrat'!$B:$B,'Paiements contrat'!$A:$A,A1283))</f>
        <v/>
      </c>
      <c r="I1283" s="4" t="n">
        <v>40282.10996323849</v>
      </c>
      <c r="J1283" t="inlineStr">
        <is>
          <t>actif</t>
        </is>
      </c>
    </row>
    <row r="1284">
      <c r="A1284" t="inlineStr">
        <is>
          <t>CTR-01307</t>
        </is>
      </c>
      <c r="B1284" t="inlineStr">
        <is>
          <t>CLI-00460</t>
        </is>
      </c>
      <c r="C1284" t="inlineStr">
        <is>
          <t>Île-de-France</t>
        </is>
      </c>
      <c r="D1284" t="inlineStr">
        <is>
          <t>auto</t>
        </is>
      </c>
      <c r="E1284" t="inlineStr">
        <is>
          <t>LLD</t>
        </is>
      </c>
      <c r="F1284" t="inlineStr">
        <is>
          <t>2025-08-15</t>
        </is>
      </c>
      <c r="G1284" s="4" t="n">
        <v>58125.14</v>
      </c>
      <c r="H1284" s="4">
        <f>MAX(0,G1284-SUMIFS('Paiements contrat'!$B:$B,'Paiements contrat'!$A:$A,A1284))</f>
        <v/>
      </c>
      <c r="I1284" s="4" t="n">
        <v>47877.03</v>
      </c>
      <c r="J1284" t="inlineStr">
        <is>
          <t>actif</t>
        </is>
      </c>
    </row>
    <row r="1285">
      <c r="A1285" t="inlineStr">
        <is>
          <t>CTR-01308</t>
        </is>
      </c>
      <c r="B1285" t="inlineStr">
        <is>
          <t>CLI-01404</t>
        </is>
      </c>
      <c r="C1285" t="inlineStr">
        <is>
          <t>Guadeloupe</t>
        </is>
      </c>
      <c r="D1285" t="inlineStr">
        <is>
          <t>auto</t>
        </is>
      </c>
      <c r="E1285" t="inlineStr">
        <is>
          <t>LLD</t>
        </is>
      </c>
      <c r="F1285" t="inlineStr">
        <is>
          <t>2024-04-06</t>
        </is>
      </c>
      <c r="G1285" s="4" t="n">
        <v>25372.49</v>
      </c>
      <c r="H1285" s="4">
        <f>MAX(0,G1285-SUMIFS('Paiements contrat'!$B:$B,'Paiements contrat'!$A:$A,A1285))</f>
        <v/>
      </c>
      <c r="I1285" s="4" t="n">
        <v>11634.72</v>
      </c>
      <c r="J1285" t="inlineStr">
        <is>
          <t>actif</t>
        </is>
      </c>
    </row>
    <row r="1286">
      <c r="A1286" t="inlineStr">
        <is>
          <t>CTR-01309</t>
        </is>
      </c>
      <c r="B1286" t="inlineStr">
        <is>
          <t>CLI-00836</t>
        </is>
      </c>
      <c r="C1286" t="inlineStr">
        <is>
          <t>Martinique</t>
        </is>
      </c>
      <c r="D1286" t="inlineStr">
        <is>
          <t>auto</t>
        </is>
      </c>
      <c r="E1286" t="inlineStr">
        <is>
          <t>LOA</t>
        </is>
      </c>
      <c r="F1286" t="inlineStr">
        <is>
          <t>2025-09-20</t>
        </is>
      </c>
      <c r="G1286" s="4" t="n">
        <v>53177.05</v>
      </c>
      <c r="H1286" s="4">
        <f>MAX(0,G1286-SUMIFS('Paiements contrat'!$B:$B,'Paiements contrat'!$A:$A,A1286))</f>
        <v/>
      </c>
      <c r="I1286" s="4" t="n">
        <v>45192.20085422285</v>
      </c>
      <c r="J1286" t="inlineStr">
        <is>
          <t>actif</t>
        </is>
      </c>
    </row>
    <row r="1287">
      <c r="A1287" t="inlineStr">
        <is>
          <t>CTR-01310</t>
        </is>
      </c>
      <c r="B1287" t="inlineStr">
        <is>
          <t>CLI-00944</t>
        </is>
      </c>
      <c r="C1287" t="inlineStr">
        <is>
          <t>Île-de-France</t>
        </is>
      </c>
      <c r="D1287" t="inlineStr">
        <is>
          <t>auto</t>
        </is>
      </c>
      <c r="E1287" t="inlineStr">
        <is>
          <t>LLD</t>
        </is>
      </c>
      <c r="F1287" t="inlineStr">
        <is>
          <t>2024-04-06</t>
        </is>
      </c>
      <c r="G1287" s="4" t="n">
        <v>43176.79</v>
      </c>
      <c r="H1287" s="4">
        <f>MAX(0,G1287-SUMIFS('Paiements contrat'!$B:$B,'Paiements contrat'!$A:$A,A1287))</f>
        <v/>
      </c>
      <c r="I1287" s="4" t="n">
        <v>1873.040000000001</v>
      </c>
      <c r="J1287" t="inlineStr">
        <is>
          <t>actif</t>
        </is>
      </c>
    </row>
    <row r="1288">
      <c r="A1288" t="inlineStr">
        <is>
          <t>CTR-01311</t>
        </is>
      </c>
      <c r="B1288" t="inlineStr">
        <is>
          <t>CLI-00386</t>
        </is>
      </c>
      <c r="C1288" t="inlineStr">
        <is>
          <t>Guadeloupe</t>
        </is>
      </c>
      <c r="D1288" t="inlineStr">
        <is>
          <t>materiel</t>
        </is>
      </c>
      <c r="E1288" t="inlineStr">
        <is>
          <t>crédit-bail</t>
        </is>
      </c>
      <c r="F1288" t="inlineStr">
        <is>
          <t>2025-10-05</t>
        </is>
      </c>
      <c r="G1288" s="4" t="n">
        <v>74403.48</v>
      </c>
      <c r="H1288" s="4">
        <f>MAX(0,G1288-SUMIFS('Paiements contrat'!$B:$B,'Paiements contrat'!$A:$A,A1288))</f>
        <v/>
      </c>
      <c r="I1288" s="4" t="n">
        <v>59476.05</v>
      </c>
      <c r="J1288" t="inlineStr">
        <is>
          <t>actif</t>
        </is>
      </c>
    </row>
    <row r="1289">
      <c r="A1289" t="inlineStr">
        <is>
          <t>CTR-01312</t>
        </is>
      </c>
      <c r="B1289" t="inlineStr">
        <is>
          <t>CLI-00768</t>
        </is>
      </c>
      <c r="C1289" t="inlineStr">
        <is>
          <t>Martinique</t>
        </is>
      </c>
      <c r="D1289" t="inlineStr">
        <is>
          <t>auto</t>
        </is>
      </c>
      <c r="E1289" t="inlineStr">
        <is>
          <t>LOA</t>
        </is>
      </c>
      <c r="F1289" t="inlineStr">
        <is>
          <t>2025-07-03</t>
        </is>
      </c>
      <c r="G1289" s="4" t="n">
        <v>35433.17</v>
      </c>
      <c r="H1289" s="4">
        <f>MAX(0,G1289-SUMIFS('Paiements contrat'!$B:$B,'Paiements contrat'!$A:$A,A1289))</f>
        <v/>
      </c>
      <c r="I1289" s="4" t="n">
        <v>31234.14448739199</v>
      </c>
      <c r="J1289" t="inlineStr">
        <is>
          <t>actif</t>
        </is>
      </c>
    </row>
    <row r="1290">
      <c r="A1290" t="inlineStr">
        <is>
          <t>CTR-01313</t>
        </is>
      </c>
      <c r="B1290" t="inlineStr">
        <is>
          <t>CLI-00011</t>
        </is>
      </c>
      <c r="C1290" t="inlineStr">
        <is>
          <t>Île-de-France</t>
        </is>
      </c>
      <c r="D1290" t="inlineStr">
        <is>
          <t>auto</t>
        </is>
      </c>
      <c r="E1290" t="inlineStr">
        <is>
          <t>LLD</t>
        </is>
      </c>
      <c r="F1290" t="inlineStr">
        <is>
          <t>2025-07-22</t>
        </is>
      </c>
      <c r="G1290" s="4" t="n">
        <v>64355.52</v>
      </c>
      <c r="H1290" s="4">
        <f>MAX(0,G1290-SUMIFS('Paiements contrat'!$B:$B,'Paiements contrat'!$A:$A,A1290))</f>
        <v/>
      </c>
      <c r="I1290" s="4" t="n">
        <v>21847.18</v>
      </c>
      <c r="J1290" t="inlineStr">
        <is>
          <t>actif</t>
        </is>
      </c>
    </row>
    <row r="1291">
      <c r="A1291" t="inlineStr">
        <is>
          <t>CTR-01314</t>
        </is>
      </c>
      <c r="B1291" t="inlineStr">
        <is>
          <t>CLI-00636</t>
        </is>
      </c>
      <c r="C1291" t="inlineStr">
        <is>
          <t>Île-de-France</t>
        </is>
      </c>
      <c r="D1291" t="inlineStr">
        <is>
          <t>auto</t>
        </is>
      </c>
      <c r="E1291" t="inlineStr">
        <is>
          <t>LLD</t>
        </is>
      </c>
      <c r="F1291" t="inlineStr">
        <is>
          <t>2025-08-16</t>
        </is>
      </c>
      <c r="G1291" s="4" t="n">
        <v>37583.33</v>
      </c>
      <c r="H1291" s="4">
        <f>MAX(0,G1291-SUMIFS('Paiements contrat'!$B:$B,'Paiements contrat'!$A:$A,A1291))</f>
        <v/>
      </c>
      <c r="I1291" s="4" t="n">
        <v>30581.24</v>
      </c>
      <c r="J1291" t="inlineStr">
        <is>
          <t>actif</t>
        </is>
      </c>
    </row>
    <row r="1292">
      <c r="A1292" t="inlineStr">
        <is>
          <t>CTR-01315</t>
        </is>
      </c>
      <c r="B1292" t="inlineStr">
        <is>
          <t>CLI-00768</t>
        </is>
      </c>
      <c r="C1292" t="inlineStr">
        <is>
          <t>Martinique</t>
        </is>
      </c>
      <c r="D1292" t="inlineStr">
        <is>
          <t>materiel</t>
        </is>
      </c>
      <c r="E1292" t="inlineStr">
        <is>
          <t>crédit-bail</t>
        </is>
      </c>
      <c r="F1292" t="inlineStr">
        <is>
          <t>2025-10-06</t>
        </is>
      </c>
      <c r="G1292" s="4" t="n">
        <v>59514.33</v>
      </c>
      <c r="H1292" s="4">
        <f>MAX(0,G1292-SUMIFS('Paiements contrat'!$B:$B,'Paiements contrat'!$A:$A,A1292))</f>
        <v/>
      </c>
      <c r="I1292" s="4" t="n">
        <v>47881.74744663402</v>
      </c>
      <c r="J1292" t="inlineStr">
        <is>
          <t>actif</t>
        </is>
      </c>
    </row>
    <row r="1293">
      <c r="A1293" t="inlineStr">
        <is>
          <t>CTR-01316</t>
        </is>
      </c>
      <c r="B1293" t="inlineStr">
        <is>
          <t>CLI-00962</t>
        </is>
      </c>
      <c r="C1293" t="inlineStr">
        <is>
          <t>Île-de-France</t>
        </is>
      </c>
      <c r="D1293" t="inlineStr">
        <is>
          <t>auto</t>
        </is>
      </c>
      <c r="E1293" t="inlineStr">
        <is>
          <t>LLD</t>
        </is>
      </c>
      <c r="F1293" t="inlineStr">
        <is>
          <t>2025-12-05</t>
        </is>
      </c>
      <c r="G1293" s="4" t="n">
        <v>64156.09</v>
      </c>
      <c r="H1293" s="4">
        <f>MAX(0,G1293-SUMIFS('Paiements contrat'!$B:$B,'Paiements contrat'!$A:$A,A1293))</f>
        <v/>
      </c>
      <c r="I1293" s="4" t="n">
        <v>59409.66</v>
      </c>
      <c r="J1293" t="inlineStr">
        <is>
          <t>actif</t>
        </is>
      </c>
    </row>
    <row r="1294">
      <c r="A1294" t="inlineStr">
        <is>
          <t>CTR-01317</t>
        </is>
      </c>
      <c r="B1294" t="inlineStr">
        <is>
          <t>CLI-01047</t>
        </is>
      </c>
      <c r="C1294" t="inlineStr">
        <is>
          <t>Île-de-France</t>
        </is>
      </c>
      <c r="D1294" t="inlineStr">
        <is>
          <t>auto</t>
        </is>
      </c>
      <c r="E1294" t="inlineStr">
        <is>
          <t>LOA</t>
        </is>
      </c>
      <c r="F1294" t="inlineStr">
        <is>
          <t>2026-02-18</t>
        </is>
      </c>
      <c r="G1294" s="4" t="n">
        <v>21191.49</v>
      </c>
      <c r="H1294" s="4">
        <f>MAX(0,G1294-SUMIFS('Paiements contrat'!$B:$B,'Paiements contrat'!$A:$A,A1294))</f>
        <v/>
      </c>
      <c r="I1294" s="4" t="n">
        <v>20652.64</v>
      </c>
      <c r="J1294" t="inlineStr">
        <is>
          <t>actif</t>
        </is>
      </c>
    </row>
    <row r="1295">
      <c r="A1295" t="inlineStr">
        <is>
          <t>CTR-01318</t>
        </is>
      </c>
      <c r="B1295" t="inlineStr">
        <is>
          <t>CLI-01173</t>
        </is>
      </c>
      <c r="C1295" t="inlineStr">
        <is>
          <t>Île-de-France</t>
        </is>
      </c>
      <c r="D1295" t="inlineStr">
        <is>
          <t>auto</t>
        </is>
      </c>
      <c r="E1295" t="inlineStr">
        <is>
          <t>LOA</t>
        </is>
      </c>
      <c r="F1295" t="inlineStr">
        <is>
          <t>2025-05-04</t>
        </is>
      </c>
      <c r="G1295" s="4" t="n">
        <v>51092.06</v>
      </c>
      <c r="H1295" s="4">
        <f>MAX(0,G1295-SUMIFS('Paiements contrat'!$B:$B,'Paiements contrat'!$A:$A,A1295))</f>
        <v/>
      </c>
      <c r="I1295" s="4" t="n">
        <v>36174.64999999999</v>
      </c>
      <c r="J1295" t="inlineStr">
        <is>
          <t>actif</t>
        </is>
      </c>
    </row>
    <row r="1296">
      <c r="A1296" t="inlineStr">
        <is>
          <t>CTR-01319</t>
        </is>
      </c>
      <c r="B1296" t="inlineStr">
        <is>
          <t>CLI-00032</t>
        </is>
      </c>
      <c r="C1296" t="inlineStr">
        <is>
          <t>Île-de-France</t>
        </is>
      </c>
      <c r="D1296" t="inlineStr">
        <is>
          <t>auto</t>
        </is>
      </c>
      <c r="E1296" t="inlineStr">
        <is>
          <t>LOA</t>
        </is>
      </c>
      <c r="F1296" t="inlineStr">
        <is>
          <t>2026-01-10</t>
        </is>
      </c>
      <c r="G1296" s="4" t="n">
        <v>47694.04</v>
      </c>
      <c r="H1296" s="4">
        <f>MAX(0,G1296-SUMIFS('Paiements contrat'!$B:$B,'Paiements contrat'!$A:$A,A1296))</f>
        <v/>
      </c>
      <c r="I1296" s="4" t="n">
        <v>44022.85</v>
      </c>
      <c r="J1296" t="inlineStr">
        <is>
          <t>actif</t>
        </is>
      </c>
    </row>
    <row r="1297">
      <c r="A1297" t="inlineStr">
        <is>
          <t>CTR-01320</t>
        </is>
      </c>
      <c r="B1297" t="inlineStr">
        <is>
          <t>CLI-01231</t>
        </is>
      </c>
      <c r="C1297" t="inlineStr">
        <is>
          <t>Île-de-France</t>
        </is>
      </c>
      <c r="D1297" t="inlineStr">
        <is>
          <t>materiel</t>
        </is>
      </c>
      <c r="E1297" t="inlineStr">
        <is>
          <t>crédit-bail</t>
        </is>
      </c>
      <c r="F1297" t="inlineStr">
        <is>
          <t>2025-03-27</t>
        </is>
      </c>
      <c r="G1297" s="4" t="n">
        <v>90907.36</v>
      </c>
      <c r="H1297" s="4">
        <f>MAX(0,G1297-SUMIFS('Paiements contrat'!$B:$B,'Paiements contrat'!$A:$A,A1297))</f>
        <v/>
      </c>
      <c r="I1297" s="4" t="n">
        <v>64779.28</v>
      </c>
      <c r="J1297" t="inlineStr">
        <is>
          <t>contentieux</t>
        </is>
      </c>
    </row>
    <row r="1298">
      <c r="A1298" t="inlineStr">
        <is>
          <t>CTR-01321</t>
        </is>
      </c>
      <c r="B1298" t="inlineStr">
        <is>
          <t>CLI-01326</t>
        </is>
      </c>
      <c r="C1298" t="inlineStr">
        <is>
          <t>Réunion</t>
        </is>
      </c>
      <c r="D1298" t="inlineStr">
        <is>
          <t>materiel</t>
        </is>
      </c>
      <c r="E1298" t="inlineStr">
        <is>
          <t>crédit-bail</t>
        </is>
      </c>
      <c r="F1298" t="inlineStr">
        <is>
          <t>2024-12-15</t>
        </is>
      </c>
      <c r="G1298" s="4" t="n">
        <v>72661.08</v>
      </c>
      <c r="H1298" s="4">
        <f>MAX(0,G1298-SUMIFS('Paiements contrat'!$B:$B,'Paiements contrat'!$A:$A,A1298))</f>
        <v/>
      </c>
      <c r="I1298" s="4" t="n">
        <v>46508.06</v>
      </c>
      <c r="J1298" t="inlineStr">
        <is>
          <t>actif</t>
        </is>
      </c>
    </row>
    <row r="1299">
      <c r="A1299" t="inlineStr">
        <is>
          <t>CTR-01322</t>
        </is>
      </c>
      <c r="B1299" t="inlineStr">
        <is>
          <t>CLI-00388</t>
        </is>
      </c>
      <c r="C1299" t="inlineStr">
        <is>
          <t>Île-de-France</t>
        </is>
      </c>
      <c r="D1299" t="inlineStr">
        <is>
          <t>auto</t>
        </is>
      </c>
      <c r="E1299" t="inlineStr">
        <is>
          <t>LLD</t>
        </is>
      </c>
      <c r="F1299" t="inlineStr">
        <is>
          <t>2025-09-10</t>
        </is>
      </c>
      <c r="G1299" s="4" t="n">
        <v>30090.11</v>
      </c>
      <c r="H1299" s="4">
        <f>MAX(0,G1299-SUMIFS('Paiements contrat'!$B:$B,'Paiements contrat'!$A:$A,A1299))</f>
        <v/>
      </c>
      <c r="I1299" s="4" t="n">
        <v>26270.45</v>
      </c>
      <c r="J1299" t="inlineStr">
        <is>
          <t>actif</t>
        </is>
      </c>
    </row>
    <row r="1300">
      <c r="A1300" t="inlineStr">
        <is>
          <t>CTR-01323</t>
        </is>
      </c>
      <c r="B1300" t="inlineStr">
        <is>
          <t>CLI-00429</t>
        </is>
      </c>
      <c r="C1300" t="inlineStr">
        <is>
          <t>Guyane</t>
        </is>
      </c>
      <c r="D1300" t="inlineStr">
        <is>
          <t>auto</t>
        </is>
      </c>
      <c r="E1300" t="inlineStr">
        <is>
          <t>LOA</t>
        </is>
      </c>
      <c r="F1300" t="inlineStr">
        <is>
          <t>2024-08-10</t>
        </is>
      </c>
      <c r="G1300" s="4" t="n">
        <v>59750.87</v>
      </c>
      <c r="H1300" s="4">
        <f>MAX(0,G1300-SUMIFS('Paiements contrat'!$B:$B,'Paiements contrat'!$A:$A,A1300))</f>
        <v/>
      </c>
      <c r="I1300" s="4" t="n">
        <v>41861.52</v>
      </c>
      <c r="J1300" t="inlineStr">
        <is>
          <t>actif</t>
        </is>
      </c>
    </row>
    <row r="1301">
      <c r="A1301" t="inlineStr">
        <is>
          <t>CTR-01324</t>
        </is>
      </c>
      <c r="B1301" t="inlineStr">
        <is>
          <t>CLI-00508</t>
        </is>
      </c>
      <c r="C1301" t="inlineStr">
        <is>
          <t>Guadeloupe</t>
        </is>
      </c>
      <c r="D1301" t="inlineStr">
        <is>
          <t>materiel</t>
        </is>
      </c>
      <c r="E1301" t="inlineStr">
        <is>
          <t>crédit-bail</t>
        </is>
      </c>
      <c r="F1301" t="inlineStr">
        <is>
          <t>2024-09-10</t>
        </is>
      </c>
      <c r="G1301" s="4" t="n">
        <v>158439.58</v>
      </c>
      <c r="H1301" s="4">
        <f>MAX(0,G1301-SUMIFS('Paiements contrat'!$B:$B,'Paiements contrat'!$A:$A,A1301))</f>
        <v/>
      </c>
      <c r="I1301" s="4" t="n">
        <v>93371.76037946902</v>
      </c>
      <c r="J1301" t="inlineStr">
        <is>
          <t>actif</t>
        </is>
      </c>
    </row>
    <row r="1302">
      <c r="A1302" t="inlineStr">
        <is>
          <t>CTR-01325</t>
        </is>
      </c>
      <c r="B1302" t="inlineStr">
        <is>
          <t>CLI-00834</t>
        </is>
      </c>
      <c r="C1302" t="inlineStr">
        <is>
          <t>Île-de-France</t>
        </is>
      </c>
      <c r="D1302" t="inlineStr">
        <is>
          <t>materiel</t>
        </is>
      </c>
      <c r="E1302" t="inlineStr">
        <is>
          <t>crédit-bail</t>
        </is>
      </c>
      <c r="F1302" t="inlineStr">
        <is>
          <t>2025-03-01</t>
        </is>
      </c>
      <c r="G1302" s="4" t="n">
        <v>143419.62</v>
      </c>
      <c r="H1302" s="4">
        <f>MAX(0,G1302-SUMIFS('Paiements contrat'!$B:$B,'Paiements contrat'!$A:$A,A1302))</f>
        <v/>
      </c>
      <c r="I1302" s="4" t="n">
        <v>49305.81999999999</v>
      </c>
      <c r="J1302" t="inlineStr">
        <is>
          <t>actif</t>
        </is>
      </c>
    </row>
    <row r="1303">
      <c r="A1303" t="inlineStr">
        <is>
          <t>CTR-01327</t>
        </is>
      </c>
      <c r="B1303" t="inlineStr">
        <is>
          <t>CLI-01118</t>
        </is>
      </c>
      <c r="C1303" t="inlineStr">
        <is>
          <t>Réunion</t>
        </is>
      </c>
      <c r="D1303" t="inlineStr">
        <is>
          <t>auto</t>
        </is>
      </c>
      <c r="E1303" t="inlineStr">
        <is>
          <t>LLD</t>
        </is>
      </c>
      <c r="F1303" t="inlineStr">
        <is>
          <t>2025-12-03</t>
        </is>
      </c>
      <c r="G1303" s="4" t="n">
        <v>11727.08</v>
      </c>
      <c r="H1303" s="4">
        <f>MAX(0,G1303-SUMIFS('Paiements contrat'!$B:$B,'Paiements contrat'!$A:$A,A1303))</f>
        <v/>
      </c>
      <c r="I1303" s="4" t="n">
        <v>11306.27</v>
      </c>
      <c r="J1303" t="inlineStr">
        <is>
          <t>actif</t>
        </is>
      </c>
    </row>
    <row r="1304">
      <c r="A1304" t="inlineStr">
        <is>
          <t>CTR-01328</t>
        </is>
      </c>
      <c r="B1304" t="inlineStr">
        <is>
          <t>CLI-01092</t>
        </is>
      </c>
      <c r="C1304" t="inlineStr">
        <is>
          <t>Île-de-France</t>
        </is>
      </c>
      <c r="D1304" t="inlineStr">
        <is>
          <t>bateau</t>
        </is>
      </c>
      <c r="E1304" t="inlineStr">
        <is>
          <t>LOA</t>
        </is>
      </c>
      <c r="F1304" t="inlineStr">
        <is>
          <t>2025-04-19</t>
        </is>
      </c>
      <c r="G1304" s="4" t="n">
        <v>262735.25</v>
      </c>
      <c r="H1304" s="4">
        <f>MAX(0,G1304-SUMIFS('Paiements contrat'!$B:$B,'Paiements contrat'!$A:$A,A1304))</f>
        <v/>
      </c>
      <c r="I1304" s="4" t="n">
        <v>170599.77</v>
      </c>
      <c r="J1304" t="inlineStr">
        <is>
          <t>actif</t>
        </is>
      </c>
    </row>
    <row r="1305">
      <c r="A1305" t="inlineStr">
        <is>
          <t>CTR-01329</t>
        </is>
      </c>
      <c r="B1305" t="inlineStr">
        <is>
          <t>CLI-00225</t>
        </is>
      </c>
      <c r="C1305" t="inlineStr">
        <is>
          <t>Île-de-France</t>
        </is>
      </c>
      <c r="D1305" t="inlineStr">
        <is>
          <t>bateau</t>
        </is>
      </c>
      <c r="E1305" t="inlineStr">
        <is>
          <t>LOA</t>
        </is>
      </c>
      <c r="F1305" t="inlineStr">
        <is>
          <t>2025-06-06</t>
        </is>
      </c>
      <c r="G1305" s="4" t="n">
        <v>116935.87</v>
      </c>
      <c r="H1305" s="4">
        <f>MAX(0,G1305-SUMIFS('Paiements contrat'!$B:$B,'Paiements contrat'!$A:$A,A1305))</f>
        <v/>
      </c>
      <c r="I1305" s="4" t="n">
        <v>90019.03</v>
      </c>
      <c r="J1305" t="inlineStr">
        <is>
          <t>actif</t>
        </is>
      </c>
    </row>
    <row r="1306">
      <c r="A1306" t="inlineStr">
        <is>
          <t>CTR-01330</t>
        </is>
      </c>
      <c r="B1306" t="inlineStr">
        <is>
          <t>CLI-00211</t>
        </is>
      </c>
      <c r="C1306" t="inlineStr">
        <is>
          <t>Île-de-France</t>
        </is>
      </c>
      <c r="D1306" t="inlineStr">
        <is>
          <t>materiel</t>
        </is>
      </c>
      <c r="E1306" t="inlineStr">
        <is>
          <t>crédit-bail</t>
        </is>
      </c>
      <c r="F1306" t="inlineStr">
        <is>
          <t>2025-11-18</t>
        </is>
      </c>
      <c r="G1306" s="4" t="n">
        <v>73131.7</v>
      </c>
      <c r="H1306" s="4">
        <f>MAX(0,G1306-SUMIFS('Paiements contrat'!$B:$B,'Paiements contrat'!$A:$A,A1306))</f>
        <v/>
      </c>
      <c r="I1306" s="4" t="n">
        <v>55107.97</v>
      </c>
      <c r="J1306" t="inlineStr">
        <is>
          <t>actif</t>
        </is>
      </c>
    </row>
    <row r="1307">
      <c r="A1307" t="inlineStr">
        <is>
          <t>CTR-01331</t>
        </is>
      </c>
      <c r="B1307" t="inlineStr">
        <is>
          <t>CLI-01070</t>
        </is>
      </c>
      <c r="C1307" t="inlineStr">
        <is>
          <t>Île-de-France</t>
        </is>
      </c>
      <c r="D1307" t="inlineStr">
        <is>
          <t>materiel</t>
        </is>
      </c>
      <c r="E1307" t="inlineStr">
        <is>
          <t>crédit-bail</t>
        </is>
      </c>
      <c r="F1307" t="inlineStr">
        <is>
          <t>2025-11-23</t>
        </is>
      </c>
      <c r="G1307" s="4" t="n">
        <v>168986</v>
      </c>
      <c r="H1307" s="4">
        <f>MAX(0,G1307-SUMIFS('Paiements contrat'!$B:$B,'Paiements contrat'!$A:$A,A1307))</f>
        <v/>
      </c>
      <c r="I1307" s="4" t="n">
        <v>142250.87</v>
      </c>
      <c r="J1307" t="inlineStr">
        <is>
          <t>actif</t>
        </is>
      </c>
    </row>
    <row r="1308">
      <c r="A1308" t="inlineStr">
        <is>
          <t>CTR-01332</t>
        </is>
      </c>
      <c r="B1308" t="inlineStr">
        <is>
          <t>CLI-00364</t>
        </is>
      </c>
      <c r="C1308" t="inlineStr">
        <is>
          <t>Guyane</t>
        </is>
      </c>
      <c r="D1308" t="inlineStr">
        <is>
          <t>materiel</t>
        </is>
      </c>
      <c r="E1308" t="inlineStr">
        <is>
          <t>crédit-bail</t>
        </is>
      </c>
      <c r="F1308" t="inlineStr">
        <is>
          <t>2025-10-11</t>
        </is>
      </c>
      <c r="G1308" s="4" t="n">
        <v>90624.19</v>
      </c>
      <c r="H1308" s="4">
        <f>MAX(0,G1308-SUMIFS('Paiements contrat'!$B:$B,'Paiements contrat'!$A:$A,A1308))</f>
        <v/>
      </c>
      <c r="I1308" s="4" t="n">
        <v>85998.59</v>
      </c>
      <c r="J1308" t="inlineStr">
        <is>
          <t>actif</t>
        </is>
      </c>
    </row>
    <row r="1309">
      <c r="A1309" t="inlineStr">
        <is>
          <t>CTR-01333</t>
        </is>
      </c>
      <c r="B1309" t="inlineStr">
        <is>
          <t>CLI-01270</t>
        </is>
      </c>
      <c r="C1309" t="inlineStr">
        <is>
          <t>Martinique</t>
        </is>
      </c>
      <c r="D1309" t="inlineStr">
        <is>
          <t>auto</t>
        </is>
      </c>
      <c r="E1309" t="inlineStr">
        <is>
          <t>LLD</t>
        </is>
      </c>
      <c r="F1309" t="inlineStr">
        <is>
          <t>2025-10-21</t>
        </is>
      </c>
      <c r="G1309" s="4" t="n">
        <v>32412.18</v>
      </c>
      <c r="H1309" s="4">
        <f>MAX(0,G1309-SUMIFS('Paiements contrat'!$B:$B,'Paiements contrat'!$A:$A,A1309))</f>
        <v/>
      </c>
      <c r="I1309" s="4" t="n">
        <v>25820.77</v>
      </c>
      <c r="J1309" t="inlineStr">
        <is>
          <t>actif</t>
        </is>
      </c>
    </row>
    <row r="1310">
      <c r="A1310" t="inlineStr">
        <is>
          <t>CTR-01334</t>
        </is>
      </c>
      <c r="B1310" t="inlineStr">
        <is>
          <t>CLI-00591</t>
        </is>
      </c>
      <c r="C1310" t="inlineStr">
        <is>
          <t>Martinique</t>
        </is>
      </c>
      <c r="D1310" t="inlineStr">
        <is>
          <t>bateau</t>
        </is>
      </c>
      <c r="E1310" t="inlineStr">
        <is>
          <t>LOA</t>
        </is>
      </c>
      <c r="F1310" t="inlineStr">
        <is>
          <t>2024-04-10</t>
        </is>
      </c>
      <c r="G1310" s="4" t="n">
        <v>61525.9</v>
      </c>
      <c r="H1310" s="4">
        <f>MAX(0,G1310-SUMIFS('Paiements contrat'!$B:$B,'Paiements contrat'!$A:$A,A1310))</f>
        <v/>
      </c>
      <c r="I1310" s="4" t="n">
        <v>28884.23975050165</v>
      </c>
      <c r="J1310" t="inlineStr">
        <is>
          <t>actif</t>
        </is>
      </c>
    </row>
    <row r="1311">
      <c r="A1311" t="inlineStr">
        <is>
          <t>CTR-01335</t>
        </is>
      </c>
      <c r="B1311" t="inlineStr">
        <is>
          <t>CLI-00135</t>
        </is>
      </c>
      <c r="C1311" t="inlineStr">
        <is>
          <t>Île-de-France</t>
        </is>
      </c>
      <c r="D1311" t="inlineStr">
        <is>
          <t>auto</t>
        </is>
      </c>
      <c r="E1311" t="inlineStr">
        <is>
          <t>LLD</t>
        </is>
      </c>
      <c r="F1311" t="inlineStr">
        <is>
          <t>2025-03-25</t>
        </is>
      </c>
      <c r="G1311" s="4" t="n">
        <v>23363.12</v>
      </c>
      <c r="H1311" s="4">
        <f>MAX(0,G1311-SUMIFS('Paiements contrat'!$B:$B,'Paiements contrat'!$A:$A,A1311))</f>
        <v/>
      </c>
      <c r="I1311" s="4" t="n">
        <v>16483.54321472609</v>
      </c>
      <c r="J1311" t="inlineStr">
        <is>
          <t>actif</t>
        </is>
      </c>
    </row>
    <row r="1312">
      <c r="A1312" t="inlineStr">
        <is>
          <t>CTR-01336</t>
        </is>
      </c>
      <c r="B1312" t="inlineStr">
        <is>
          <t>CLI-00223</t>
        </is>
      </c>
      <c r="C1312" t="inlineStr">
        <is>
          <t>Île-de-France</t>
        </is>
      </c>
      <c r="D1312" t="inlineStr">
        <is>
          <t>materiel</t>
        </is>
      </c>
      <c r="E1312" t="inlineStr">
        <is>
          <t>crédit-bail</t>
        </is>
      </c>
      <c r="F1312" t="inlineStr">
        <is>
          <t>2025-08-13</t>
        </is>
      </c>
      <c r="G1312" s="4" t="n">
        <v>114223.36</v>
      </c>
      <c r="H1312" s="4">
        <f>MAX(0,G1312-SUMIFS('Paiements contrat'!$B:$B,'Paiements contrat'!$A:$A,A1312))</f>
        <v/>
      </c>
      <c r="I1312" s="4" t="n">
        <v>97004.13</v>
      </c>
      <c r="J1312" t="inlineStr">
        <is>
          <t>actif</t>
        </is>
      </c>
    </row>
    <row r="1313">
      <c r="A1313" t="inlineStr">
        <is>
          <t>CTR-01337</t>
        </is>
      </c>
      <c r="B1313" t="inlineStr">
        <is>
          <t>CLI-00896</t>
        </is>
      </c>
      <c r="C1313" t="inlineStr">
        <is>
          <t>Île-de-France</t>
        </is>
      </c>
      <c r="D1313" t="inlineStr">
        <is>
          <t>auto</t>
        </is>
      </c>
      <c r="E1313" t="inlineStr">
        <is>
          <t>LOA</t>
        </is>
      </c>
      <c r="F1313" t="inlineStr">
        <is>
          <t>2024-11-07</t>
        </is>
      </c>
      <c r="G1313" s="4" t="n">
        <v>11191.48</v>
      </c>
      <c r="H1313" s="4">
        <f>MAX(0,G1313-SUMIFS('Paiements contrat'!$B:$B,'Paiements contrat'!$A:$A,A1313))</f>
        <v/>
      </c>
      <c r="I1313" s="4" t="n">
        <v>7694.751407023799</v>
      </c>
      <c r="J1313" t="inlineStr">
        <is>
          <t>actif</t>
        </is>
      </c>
    </row>
    <row r="1314">
      <c r="A1314" t="inlineStr">
        <is>
          <t>CTR-01338</t>
        </is>
      </c>
      <c r="B1314" t="inlineStr">
        <is>
          <t>CLI-00161</t>
        </is>
      </c>
      <c r="C1314" t="inlineStr">
        <is>
          <t>Guadeloupe</t>
        </is>
      </c>
      <c r="D1314" t="inlineStr">
        <is>
          <t>auto</t>
        </is>
      </c>
      <c r="E1314" t="inlineStr">
        <is>
          <t>LOA</t>
        </is>
      </c>
      <c r="F1314" t="inlineStr">
        <is>
          <t>2025-04-22</t>
        </is>
      </c>
      <c r="G1314" s="4" t="n">
        <v>61660.19</v>
      </c>
      <c r="H1314" s="4">
        <f>MAX(0,G1314-SUMIFS('Paiements contrat'!$B:$B,'Paiements contrat'!$A:$A,A1314))</f>
        <v/>
      </c>
      <c r="I1314" s="4" t="n">
        <v>33912.72</v>
      </c>
      <c r="J1314" t="inlineStr">
        <is>
          <t>actif</t>
        </is>
      </c>
    </row>
    <row r="1315">
      <c r="A1315" t="inlineStr">
        <is>
          <t>CTR-01339</t>
        </is>
      </c>
      <c r="B1315" t="inlineStr">
        <is>
          <t>CLI-01132</t>
        </is>
      </c>
      <c r="C1315" t="inlineStr">
        <is>
          <t>Guadeloupe</t>
        </is>
      </c>
      <c r="D1315" t="inlineStr">
        <is>
          <t>auto</t>
        </is>
      </c>
      <c r="E1315" t="inlineStr">
        <is>
          <t>LLD</t>
        </is>
      </c>
      <c r="F1315" t="inlineStr">
        <is>
          <t>2025-02-05</t>
        </is>
      </c>
      <c r="G1315" s="4" t="n">
        <v>51734.97</v>
      </c>
      <c r="H1315" s="4">
        <f>MAX(0,G1315-SUMIFS('Paiements contrat'!$B:$B,'Paiements contrat'!$A:$A,A1315))</f>
        <v/>
      </c>
      <c r="I1315" s="4" t="n">
        <v>39120.72827479045</v>
      </c>
      <c r="J1315" t="inlineStr">
        <is>
          <t>actif</t>
        </is>
      </c>
    </row>
    <row r="1316">
      <c r="A1316" t="inlineStr">
        <is>
          <t>CTR-01340</t>
        </is>
      </c>
      <c r="B1316" t="inlineStr">
        <is>
          <t>CLI-00104</t>
        </is>
      </c>
      <c r="C1316" t="inlineStr">
        <is>
          <t>Île-de-France</t>
        </is>
      </c>
      <c r="D1316" t="inlineStr">
        <is>
          <t>auto</t>
        </is>
      </c>
      <c r="E1316" t="inlineStr">
        <is>
          <t>LOA</t>
        </is>
      </c>
      <c r="F1316" t="inlineStr">
        <is>
          <t>2025-10-03</t>
        </is>
      </c>
      <c r="G1316" s="4" t="n">
        <v>24148.35</v>
      </c>
      <c r="H1316" s="4">
        <f>MAX(0,G1316-SUMIFS('Paiements contrat'!$B:$B,'Paiements contrat'!$A:$A,A1316))</f>
        <v/>
      </c>
      <c r="I1316" s="4" t="n">
        <v>18919.41</v>
      </c>
      <c r="J1316" t="inlineStr">
        <is>
          <t>actif</t>
        </is>
      </c>
    </row>
    <row r="1317">
      <c r="A1317" t="inlineStr">
        <is>
          <t>CTR-01341</t>
        </is>
      </c>
      <c r="B1317" t="inlineStr">
        <is>
          <t>CLI-00868</t>
        </is>
      </c>
      <c r="C1317" t="inlineStr">
        <is>
          <t>Île-de-France</t>
        </is>
      </c>
      <c r="D1317" t="inlineStr">
        <is>
          <t>auto</t>
        </is>
      </c>
      <c r="E1317" t="inlineStr">
        <is>
          <t>LOA</t>
        </is>
      </c>
      <c r="F1317" t="inlineStr">
        <is>
          <t>2024-05-08</t>
        </is>
      </c>
      <c r="G1317" s="4" t="n">
        <v>62799.31</v>
      </c>
      <c r="H1317" s="4">
        <f>MAX(0,G1317-SUMIFS('Paiements contrat'!$B:$B,'Paiements contrat'!$A:$A,A1317))</f>
        <v/>
      </c>
      <c r="I1317" s="4" t="n">
        <v>5386.799999999996</v>
      </c>
      <c r="J1317" t="inlineStr">
        <is>
          <t>actif</t>
        </is>
      </c>
    </row>
    <row r="1318">
      <c r="A1318" t="inlineStr">
        <is>
          <t>CTR-01342</t>
        </is>
      </c>
      <c r="B1318" t="inlineStr">
        <is>
          <t>CLI-00920</t>
        </is>
      </c>
      <c r="C1318" t="inlineStr">
        <is>
          <t>Île-de-France</t>
        </is>
      </c>
      <c r="D1318" t="inlineStr">
        <is>
          <t>materiel</t>
        </is>
      </c>
      <c r="E1318" t="inlineStr">
        <is>
          <t>crédit-bail</t>
        </is>
      </c>
      <c r="F1318" t="inlineStr">
        <is>
          <t>2024-11-11</t>
        </is>
      </c>
      <c r="G1318" s="4" t="n">
        <v>134955.11</v>
      </c>
      <c r="H1318" s="4">
        <f>MAX(0,G1318-SUMIFS('Paiements contrat'!$B:$B,'Paiements contrat'!$A:$A,A1318))</f>
        <v/>
      </c>
      <c r="I1318" s="4" t="n">
        <v>78345.80999999998</v>
      </c>
      <c r="J1318" t="inlineStr">
        <is>
          <t>actif</t>
        </is>
      </c>
    </row>
    <row r="1319">
      <c r="A1319" t="inlineStr">
        <is>
          <t>CTR-01343</t>
        </is>
      </c>
      <c r="B1319" t="inlineStr">
        <is>
          <t>CLI-00029</t>
        </is>
      </c>
      <c r="C1319" t="inlineStr">
        <is>
          <t>Guyane</t>
        </is>
      </c>
      <c r="D1319" t="inlineStr">
        <is>
          <t>materiel</t>
        </is>
      </c>
      <c r="E1319" t="inlineStr">
        <is>
          <t>crédit-bail</t>
        </is>
      </c>
      <c r="F1319" t="inlineStr">
        <is>
          <t>2024-06-19</t>
        </is>
      </c>
      <c r="G1319" s="4" t="n">
        <v>185193.74</v>
      </c>
      <c r="H1319" s="4">
        <f>MAX(0,G1319-SUMIFS('Paiements contrat'!$B:$B,'Paiements contrat'!$A:$A,A1319))</f>
        <v/>
      </c>
      <c r="I1319" s="4" t="n">
        <v>5303.225517363346</v>
      </c>
      <c r="J1319" t="inlineStr">
        <is>
          <t>soldé</t>
        </is>
      </c>
    </row>
    <row r="1320">
      <c r="A1320" t="inlineStr">
        <is>
          <t>CTR-01344</t>
        </is>
      </c>
      <c r="B1320" t="inlineStr">
        <is>
          <t>CLI-00046</t>
        </is>
      </c>
      <c r="C1320" t="inlineStr">
        <is>
          <t>Martinique</t>
        </is>
      </c>
      <c r="D1320" t="inlineStr">
        <is>
          <t>auto</t>
        </is>
      </c>
      <c r="E1320" t="inlineStr">
        <is>
          <t>LOA</t>
        </is>
      </c>
      <c r="F1320" t="inlineStr">
        <is>
          <t>2024-04-23</t>
        </is>
      </c>
      <c r="G1320" s="4" t="n">
        <v>30369.2</v>
      </c>
      <c r="H1320" s="4">
        <f>MAX(0,G1320-SUMIFS('Paiements contrat'!$B:$B,'Paiements contrat'!$A:$A,A1320))</f>
        <v/>
      </c>
      <c r="I1320" s="4" t="n">
        <v>4384.300196140463</v>
      </c>
      <c r="J1320" t="inlineStr">
        <is>
          <t>actif</t>
        </is>
      </c>
    </row>
    <row r="1321">
      <c r="A1321" t="inlineStr">
        <is>
          <t>CTR-01345</t>
        </is>
      </c>
      <c r="B1321" t="inlineStr">
        <is>
          <t>CLI-01129</t>
        </is>
      </c>
      <c r="C1321" t="inlineStr">
        <is>
          <t>Île-de-France</t>
        </is>
      </c>
      <c r="D1321" t="inlineStr">
        <is>
          <t>auto</t>
        </is>
      </c>
      <c r="E1321" t="inlineStr">
        <is>
          <t>LLD</t>
        </is>
      </c>
      <c r="F1321" t="inlineStr">
        <is>
          <t>2024-10-10</t>
        </is>
      </c>
      <c r="G1321" s="4" t="n">
        <v>53948.71</v>
      </c>
      <c r="H1321" s="4">
        <f>MAX(0,G1321-SUMIFS('Paiements contrat'!$B:$B,'Paiements contrat'!$A:$A,A1321))</f>
        <v/>
      </c>
      <c r="I1321" s="4" t="n">
        <v>38555.24057097991</v>
      </c>
      <c r="J1321" t="inlineStr">
        <is>
          <t>actif</t>
        </is>
      </c>
    </row>
    <row r="1322">
      <c r="A1322" t="inlineStr">
        <is>
          <t>CTR-01346</t>
        </is>
      </c>
      <c r="B1322" t="inlineStr">
        <is>
          <t>CLI-00448</t>
        </is>
      </c>
      <c r="C1322" t="inlineStr">
        <is>
          <t>Île-de-France</t>
        </is>
      </c>
      <c r="D1322" t="inlineStr">
        <is>
          <t>materiel</t>
        </is>
      </c>
      <c r="E1322" t="inlineStr">
        <is>
          <t>crédit-bail</t>
        </is>
      </c>
      <c r="F1322" t="inlineStr">
        <is>
          <t>2024-07-01</t>
        </is>
      </c>
      <c r="G1322" s="4" t="n">
        <v>118960.32</v>
      </c>
      <c r="H1322" s="4">
        <f>MAX(0,G1322-SUMIFS('Paiements contrat'!$B:$B,'Paiements contrat'!$A:$A,A1322))</f>
        <v/>
      </c>
      <c r="I1322" s="4" t="n">
        <v>54320.8381267901</v>
      </c>
      <c r="J1322" t="inlineStr">
        <is>
          <t>actif</t>
        </is>
      </c>
    </row>
    <row r="1323">
      <c r="A1323" t="inlineStr">
        <is>
          <t>CTR-01347</t>
        </is>
      </c>
      <c r="B1323" t="inlineStr">
        <is>
          <t>CLI-00773</t>
        </is>
      </c>
      <c r="C1323" t="inlineStr">
        <is>
          <t>Île-de-France</t>
        </is>
      </c>
      <c r="D1323" t="inlineStr">
        <is>
          <t>materiel</t>
        </is>
      </c>
      <c r="E1323" t="inlineStr">
        <is>
          <t>crédit-bail</t>
        </is>
      </c>
      <c r="F1323" t="inlineStr">
        <is>
          <t>2024-07-14</t>
        </is>
      </c>
      <c r="G1323" s="4" t="n">
        <v>103659.02</v>
      </c>
      <c r="H1323" s="4">
        <f>MAX(0,G1323-SUMIFS('Paiements contrat'!$B:$B,'Paiements contrat'!$A:$A,A1323))</f>
        <v/>
      </c>
      <c r="I1323" s="4" t="n">
        <v>22581.25</v>
      </c>
      <c r="J1323" t="inlineStr">
        <is>
          <t>actif</t>
        </is>
      </c>
    </row>
    <row r="1324">
      <c r="A1324" t="inlineStr">
        <is>
          <t>CTR-01348</t>
        </is>
      </c>
      <c r="B1324" t="inlineStr">
        <is>
          <t>CLI-00192</t>
        </is>
      </c>
      <c r="C1324" t="inlineStr">
        <is>
          <t>Île-de-France</t>
        </is>
      </c>
      <c r="D1324" t="inlineStr">
        <is>
          <t>materiel</t>
        </is>
      </c>
      <c r="E1324" t="inlineStr">
        <is>
          <t>crédit-bail</t>
        </is>
      </c>
      <c r="F1324" t="inlineStr">
        <is>
          <t>2025-04-21</t>
        </is>
      </c>
      <c r="G1324" s="4" t="n">
        <v>32432.97</v>
      </c>
      <c r="H1324" s="4">
        <f>MAX(0,G1324-SUMIFS('Paiements contrat'!$B:$B,'Paiements contrat'!$A:$A,A1324))</f>
        <v/>
      </c>
      <c r="I1324" s="4" t="n">
        <v>2785.330000000002</v>
      </c>
      <c r="J1324" t="inlineStr">
        <is>
          <t>actif</t>
        </is>
      </c>
    </row>
    <row r="1325">
      <c r="A1325" t="inlineStr">
        <is>
          <t>CTR-01350</t>
        </is>
      </c>
      <c r="B1325" t="inlineStr">
        <is>
          <t>CLI-00142</t>
        </is>
      </c>
      <c r="C1325" t="inlineStr">
        <is>
          <t>Île-de-France</t>
        </is>
      </c>
      <c r="D1325" t="inlineStr">
        <is>
          <t>auto</t>
        </is>
      </c>
      <c r="E1325" t="inlineStr">
        <is>
          <t>LOA</t>
        </is>
      </c>
      <c r="F1325" t="inlineStr">
        <is>
          <t>2025-05-19</t>
        </is>
      </c>
      <c r="G1325" s="4" t="n">
        <v>19893.3</v>
      </c>
      <c r="H1325" s="4">
        <f>MAX(0,G1325-SUMIFS('Paiements contrat'!$B:$B,'Paiements contrat'!$A:$A,A1325))</f>
        <v/>
      </c>
      <c r="I1325" s="4" t="n">
        <v>10070.88</v>
      </c>
      <c r="J1325" t="inlineStr">
        <is>
          <t>actif</t>
        </is>
      </c>
    </row>
    <row r="1326">
      <c r="A1326" t="inlineStr">
        <is>
          <t>CTR-01351</t>
        </is>
      </c>
      <c r="B1326" t="inlineStr">
        <is>
          <t>CLI-01272</t>
        </is>
      </c>
      <c r="C1326" t="inlineStr">
        <is>
          <t>Île-de-France</t>
        </is>
      </c>
      <c r="D1326" t="inlineStr">
        <is>
          <t>auto</t>
        </is>
      </c>
      <c r="E1326" t="inlineStr">
        <is>
          <t>LOA</t>
        </is>
      </c>
      <c r="F1326" t="inlineStr">
        <is>
          <t>2025-03-21</t>
        </is>
      </c>
      <c r="G1326" s="4" t="n">
        <v>34358.68</v>
      </c>
      <c r="H1326" s="4">
        <f>MAX(0,G1326-SUMIFS('Paiements contrat'!$B:$B,'Paiements contrat'!$A:$A,A1326))</f>
        <v/>
      </c>
      <c r="I1326" s="4" t="n">
        <v>18997.58</v>
      </c>
      <c r="J1326" t="inlineStr">
        <is>
          <t>actif</t>
        </is>
      </c>
    </row>
    <row r="1327">
      <c r="A1327" t="inlineStr">
        <is>
          <t>CTR-01352</t>
        </is>
      </c>
      <c r="B1327" t="inlineStr">
        <is>
          <t>CLI-00399</t>
        </is>
      </c>
      <c r="C1327" t="inlineStr">
        <is>
          <t>Île-de-France</t>
        </is>
      </c>
      <c r="D1327" t="inlineStr">
        <is>
          <t>materiel</t>
        </is>
      </c>
      <c r="E1327" t="inlineStr">
        <is>
          <t>crédit-bail</t>
        </is>
      </c>
      <c r="F1327" t="inlineStr">
        <is>
          <t>2024-09-09</t>
        </is>
      </c>
      <c r="G1327" s="4" t="n">
        <v>90866.82000000001</v>
      </c>
      <c r="H1327" s="4">
        <f>MAX(0,G1327-SUMIFS('Paiements contrat'!$B:$B,'Paiements contrat'!$A:$A,A1327))</f>
        <v/>
      </c>
      <c r="I1327" s="4" t="n">
        <v>27695.14000000001</v>
      </c>
      <c r="J1327" t="inlineStr">
        <is>
          <t>actif</t>
        </is>
      </c>
    </row>
    <row r="1328">
      <c r="A1328" t="inlineStr">
        <is>
          <t>CTR-01353</t>
        </is>
      </c>
      <c r="B1328" t="inlineStr">
        <is>
          <t>CLI-00809</t>
        </is>
      </c>
      <c r="C1328" t="inlineStr">
        <is>
          <t>Île-de-France</t>
        </is>
      </c>
      <c r="D1328" t="inlineStr">
        <is>
          <t>bateau</t>
        </is>
      </c>
      <c r="E1328" t="inlineStr">
        <is>
          <t>LOA</t>
        </is>
      </c>
      <c r="F1328" t="inlineStr">
        <is>
          <t>2025-01-09</t>
        </is>
      </c>
      <c r="G1328" s="4" t="n">
        <v>70919.86</v>
      </c>
      <c r="H1328" s="4">
        <f>MAX(0,G1328-SUMIFS('Paiements contrat'!$B:$B,'Paiements contrat'!$A:$A,A1328))</f>
        <v/>
      </c>
      <c r="I1328" s="4" t="n">
        <v>51622.23</v>
      </c>
      <c r="J1328" t="inlineStr">
        <is>
          <t>actif</t>
        </is>
      </c>
    </row>
    <row r="1329">
      <c r="A1329" t="inlineStr">
        <is>
          <t>CTR-01354</t>
        </is>
      </c>
      <c r="B1329" t="inlineStr">
        <is>
          <t>CLI-00851</t>
        </is>
      </c>
      <c r="C1329" t="inlineStr">
        <is>
          <t>Martinique</t>
        </is>
      </c>
      <c r="D1329" t="inlineStr">
        <is>
          <t>auto</t>
        </is>
      </c>
      <c r="E1329" t="inlineStr">
        <is>
          <t>LOA</t>
        </is>
      </c>
      <c r="F1329" t="inlineStr">
        <is>
          <t>2025-04-12</t>
        </is>
      </c>
      <c r="G1329" s="4" t="n">
        <v>59258.17</v>
      </c>
      <c r="H1329" s="4">
        <f>MAX(0,G1329-SUMIFS('Paiements contrat'!$B:$B,'Paiements contrat'!$A:$A,A1329))</f>
        <v/>
      </c>
      <c r="I1329" s="4" t="n">
        <v>46747.72</v>
      </c>
      <c r="J1329" t="inlineStr">
        <is>
          <t>actif</t>
        </is>
      </c>
    </row>
    <row r="1330">
      <c r="A1330" t="inlineStr">
        <is>
          <t>CTR-01355</t>
        </is>
      </c>
      <c r="B1330" t="inlineStr">
        <is>
          <t>CLI-00918</t>
        </is>
      </c>
      <c r="C1330" t="inlineStr">
        <is>
          <t>Île-de-France</t>
        </is>
      </c>
      <c r="D1330" t="inlineStr">
        <is>
          <t>auto</t>
        </is>
      </c>
      <c r="E1330" t="inlineStr">
        <is>
          <t>LOA</t>
        </is>
      </c>
      <c r="F1330" t="inlineStr">
        <is>
          <t>2024-06-22</t>
        </is>
      </c>
      <c r="G1330" s="4" t="n">
        <v>66258.53999999999</v>
      </c>
      <c r="H1330" s="4">
        <f>MAX(0,G1330-SUMIFS('Paiements contrat'!$B:$B,'Paiements contrat'!$A:$A,A1330))</f>
        <v/>
      </c>
      <c r="I1330" s="4" t="n">
        <v>32316.92999999999</v>
      </c>
      <c r="J1330" t="inlineStr">
        <is>
          <t>actif</t>
        </is>
      </c>
    </row>
    <row r="1331">
      <c r="A1331" t="inlineStr">
        <is>
          <t>CTR-01356</t>
        </is>
      </c>
      <c r="B1331" t="inlineStr">
        <is>
          <t>CLI-01492</t>
        </is>
      </c>
      <c r="C1331" t="inlineStr">
        <is>
          <t>Île-de-France</t>
        </is>
      </c>
      <c r="D1331" t="inlineStr">
        <is>
          <t>materiel</t>
        </is>
      </c>
      <c r="E1331" t="inlineStr">
        <is>
          <t>crédit-bail</t>
        </is>
      </c>
      <c r="F1331" t="inlineStr">
        <is>
          <t>2025-05-26</t>
        </is>
      </c>
      <c r="G1331" s="4" t="n">
        <v>155451.04</v>
      </c>
      <c r="H1331" s="4">
        <f>MAX(0,G1331-SUMIFS('Paiements contrat'!$B:$B,'Paiements contrat'!$A:$A,A1331))</f>
        <v/>
      </c>
      <c r="I1331" s="4" t="n">
        <v>98355.59000000001</v>
      </c>
      <c r="J1331" t="inlineStr">
        <is>
          <t>actif</t>
        </is>
      </c>
    </row>
    <row r="1332">
      <c r="A1332" t="inlineStr">
        <is>
          <t>CTR-01357</t>
        </is>
      </c>
      <c r="B1332" t="inlineStr">
        <is>
          <t>CLI-00307</t>
        </is>
      </c>
      <c r="C1332" t="inlineStr">
        <is>
          <t>Guadeloupe</t>
        </is>
      </c>
      <c r="D1332" t="inlineStr">
        <is>
          <t>auto</t>
        </is>
      </c>
      <c r="E1332" t="inlineStr">
        <is>
          <t>LOA</t>
        </is>
      </c>
      <c r="F1332" t="inlineStr">
        <is>
          <t>2024-08-25</t>
        </is>
      </c>
      <c r="G1332" s="4" t="n">
        <v>17667</v>
      </c>
      <c r="H1332" s="4">
        <f>MAX(0,G1332-SUMIFS('Paiements contrat'!$B:$B,'Paiements contrat'!$A:$A,A1332))</f>
        <v/>
      </c>
      <c r="I1332" s="4" t="n">
        <v>987.4700000000012</v>
      </c>
      <c r="J1332" t="inlineStr">
        <is>
          <t>soldé</t>
        </is>
      </c>
    </row>
    <row r="1333">
      <c r="A1333" t="inlineStr">
        <is>
          <t>CTR-01358</t>
        </is>
      </c>
      <c r="B1333" t="inlineStr">
        <is>
          <t>CLI-00565</t>
        </is>
      </c>
      <c r="C1333" t="inlineStr">
        <is>
          <t>Île-de-France</t>
        </is>
      </c>
      <c r="D1333" t="inlineStr">
        <is>
          <t>auto</t>
        </is>
      </c>
      <c r="E1333" t="inlineStr">
        <is>
          <t>LLD</t>
        </is>
      </c>
      <c r="F1333" t="inlineStr">
        <is>
          <t>2024-04-04</t>
        </is>
      </c>
      <c r="G1333" s="4" t="n">
        <v>58360.29</v>
      </c>
      <c r="H1333" s="4">
        <f>MAX(0,G1333-SUMIFS('Paiements contrat'!$B:$B,'Paiements contrat'!$A:$A,A1333))</f>
        <v/>
      </c>
      <c r="I1333" s="4" t="n">
        <v>20087.33075095502</v>
      </c>
      <c r="J1333" t="inlineStr">
        <is>
          <t>actif</t>
        </is>
      </c>
    </row>
    <row r="1334">
      <c r="A1334" t="inlineStr">
        <is>
          <t>CTR-01359</t>
        </is>
      </c>
      <c r="B1334" t="inlineStr">
        <is>
          <t>CLI-00556</t>
        </is>
      </c>
      <c r="C1334" t="inlineStr">
        <is>
          <t>Île-de-France</t>
        </is>
      </c>
      <c r="D1334" t="inlineStr">
        <is>
          <t>auto</t>
        </is>
      </c>
      <c r="E1334" t="inlineStr">
        <is>
          <t>LOA</t>
        </is>
      </c>
      <c r="F1334" t="inlineStr">
        <is>
          <t>2025-07-22</t>
        </is>
      </c>
      <c r="G1334" s="4" t="n">
        <v>70379.63</v>
      </c>
      <c r="H1334" s="4">
        <f>MAX(0,G1334-SUMIFS('Paiements contrat'!$B:$B,'Paiements contrat'!$A:$A,A1334))</f>
        <v/>
      </c>
      <c r="I1334" s="4" t="n">
        <v>39687.22</v>
      </c>
      <c r="J1334" t="inlineStr">
        <is>
          <t>actif</t>
        </is>
      </c>
    </row>
    <row r="1335">
      <c r="A1335" t="inlineStr">
        <is>
          <t>CTR-01360</t>
        </is>
      </c>
      <c r="B1335" t="inlineStr">
        <is>
          <t>CLI-00903</t>
        </is>
      </c>
      <c r="C1335" t="inlineStr">
        <is>
          <t>Île-de-France</t>
        </is>
      </c>
      <c r="D1335" t="inlineStr">
        <is>
          <t>auto</t>
        </is>
      </c>
      <c r="E1335" t="inlineStr">
        <is>
          <t>LOA</t>
        </is>
      </c>
      <c r="F1335" t="inlineStr">
        <is>
          <t>2025-04-15</t>
        </is>
      </c>
      <c r="G1335" s="4" t="n">
        <v>73991.88</v>
      </c>
      <c r="H1335" s="4">
        <f>MAX(0,G1335-SUMIFS('Paiements contrat'!$B:$B,'Paiements contrat'!$A:$A,A1335))</f>
        <v/>
      </c>
      <c r="I1335" s="4" t="n">
        <v>56056.13</v>
      </c>
      <c r="J1335" t="inlineStr">
        <is>
          <t>actif</t>
        </is>
      </c>
    </row>
    <row r="1336">
      <c r="A1336" t="inlineStr">
        <is>
          <t>CTR-01361</t>
        </is>
      </c>
      <c r="B1336" t="inlineStr">
        <is>
          <t>CLI-01458</t>
        </is>
      </c>
      <c r="C1336" t="inlineStr">
        <is>
          <t>Île-de-France</t>
        </is>
      </c>
      <c r="D1336" t="inlineStr">
        <is>
          <t>auto</t>
        </is>
      </c>
      <c r="E1336" t="inlineStr">
        <is>
          <t>LLD</t>
        </is>
      </c>
      <c r="F1336" t="inlineStr">
        <is>
          <t>2026-02-16</t>
        </is>
      </c>
      <c r="G1336" s="4" t="n">
        <v>15125.62</v>
      </c>
      <c r="H1336" s="4">
        <f>MAX(0,G1336-SUMIFS('Paiements contrat'!$B:$B,'Paiements contrat'!$A:$A,A1336))</f>
        <v/>
      </c>
      <c r="I1336" s="4" t="n">
        <v>13908.18</v>
      </c>
      <c r="J1336" t="inlineStr">
        <is>
          <t>actif</t>
        </is>
      </c>
    </row>
    <row r="1337">
      <c r="A1337" t="inlineStr">
        <is>
          <t>CTR-01362</t>
        </is>
      </c>
      <c r="B1337" t="inlineStr">
        <is>
          <t>CLI-00981</t>
        </is>
      </c>
      <c r="C1337" t="inlineStr">
        <is>
          <t>Île-de-France</t>
        </is>
      </c>
      <c r="D1337" t="inlineStr">
        <is>
          <t>auto</t>
        </is>
      </c>
      <c r="E1337" t="inlineStr">
        <is>
          <t>LOA</t>
        </is>
      </c>
      <c r="F1337" t="inlineStr">
        <is>
          <t>2026-03-16</t>
        </is>
      </c>
      <c r="G1337" s="4" t="n">
        <v>21835.48</v>
      </c>
      <c r="H1337" s="4">
        <f>MAX(0,G1337-SUMIFS('Paiements contrat'!$B:$B,'Paiements contrat'!$A:$A,A1337))</f>
        <v/>
      </c>
      <c r="I1337" s="4" t="n">
        <v>21835.48</v>
      </c>
      <c r="J1337" t="inlineStr">
        <is>
          <t>actif</t>
        </is>
      </c>
    </row>
    <row r="1338">
      <c r="A1338" t="inlineStr">
        <is>
          <t>CTR-01363</t>
        </is>
      </c>
      <c r="B1338" t="inlineStr">
        <is>
          <t>CLI-00940</t>
        </is>
      </c>
      <c r="C1338" t="inlineStr">
        <is>
          <t>Île-de-France</t>
        </is>
      </c>
      <c r="D1338" t="inlineStr">
        <is>
          <t>auto</t>
        </is>
      </c>
      <c r="E1338" t="inlineStr">
        <is>
          <t>LOA</t>
        </is>
      </c>
      <c r="F1338" t="inlineStr">
        <is>
          <t>2024-05-13</t>
        </is>
      </c>
      <c r="G1338" s="4" t="n">
        <v>39479.89</v>
      </c>
      <c r="H1338" s="4">
        <f>MAX(0,G1338-SUMIFS('Paiements contrat'!$B:$B,'Paiements contrat'!$A:$A,A1338))</f>
        <v/>
      </c>
      <c r="I1338" s="4" t="n">
        <v>17721.22642403539</v>
      </c>
      <c r="J1338" t="inlineStr">
        <is>
          <t>actif</t>
        </is>
      </c>
    </row>
    <row r="1339">
      <c r="A1339" t="inlineStr">
        <is>
          <t>CTR-01364</t>
        </is>
      </c>
      <c r="B1339" t="inlineStr">
        <is>
          <t>CLI-00198</t>
        </is>
      </c>
      <c r="C1339" t="inlineStr">
        <is>
          <t>Île-de-France</t>
        </is>
      </c>
      <c r="D1339" t="inlineStr">
        <is>
          <t>auto</t>
        </is>
      </c>
      <c r="E1339" t="inlineStr">
        <is>
          <t>LLD</t>
        </is>
      </c>
      <c r="F1339" t="inlineStr">
        <is>
          <t>2025-08-19</t>
        </is>
      </c>
      <c r="G1339" s="4" t="n">
        <v>19800.16</v>
      </c>
      <c r="H1339" s="4">
        <f>MAX(0,G1339-SUMIFS('Paiements contrat'!$B:$B,'Paiements contrat'!$A:$A,A1339))</f>
        <v/>
      </c>
      <c r="I1339" s="4" t="n">
        <v>17561.7172029871</v>
      </c>
      <c r="J1339" t="inlineStr">
        <is>
          <t>contentieux</t>
        </is>
      </c>
    </row>
    <row r="1340">
      <c r="A1340" t="inlineStr">
        <is>
          <t>CTR-01365</t>
        </is>
      </c>
      <c r="B1340" t="inlineStr">
        <is>
          <t>CLI-00797</t>
        </is>
      </c>
      <c r="C1340" t="inlineStr">
        <is>
          <t>Île-de-France</t>
        </is>
      </c>
      <c r="D1340" t="inlineStr">
        <is>
          <t>materiel</t>
        </is>
      </c>
      <c r="E1340" t="inlineStr">
        <is>
          <t>crédit-bail</t>
        </is>
      </c>
      <c r="F1340" t="inlineStr">
        <is>
          <t>2025-04-27</t>
        </is>
      </c>
      <c r="G1340" s="4" t="n">
        <v>40874.2</v>
      </c>
      <c r="H1340" s="4">
        <f>MAX(0,G1340-SUMIFS('Paiements contrat'!$B:$B,'Paiements contrat'!$A:$A,A1340))</f>
        <v/>
      </c>
      <c r="I1340" s="4" t="n">
        <v>22862.7</v>
      </c>
      <c r="J1340" t="inlineStr">
        <is>
          <t>actif</t>
        </is>
      </c>
    </row>
    <row r="1341">
      <c r="A1341" t="inlineStr">
        <is>
          <t>CTR-01366</t>
        </is>
      </c>
      <c r="B1341" t="inlineStr">
        <is>
          <t>CLI-01031</t>
        </is>
      </c>
      <c r="C1341" t="inlineStr">
        <is>
          <t>Île-de-France</t>
        </is>
      </c>
      <c r="D1341" t="inlineStr">
        <is>
          <t>materiel</t>
        </is>
      </c>
      <c r="E1341" t="inlineStr">
        <is>
          <t>crédit-bail</t>
        </is>
      </c>
      <c r="F1341" t="inlineStr">
        <is>
          <t>2026-01-04</t>
        </is>
      </c>
      <c r="G1341" s="4" t="n">
        <v>165879.45</v>
      </c>
      <c r="H1341" s="4">
        <f>MAX(0,G1341-SUMIFS('Paiements contrat'!$B:$B,'Paiements contrat'!$A:$A,A1341))</f>
        <v/>
      </c>
      <c r="I1341" s="4" t="n">
        <v>162829.3</v>
      </c>
      <c r="J1341" t="inlineStr">
        <is>
          <t>actif</t>
        </is>
      </c>
    </row>
    <row r="1342">
      <c r="A1342" t="inlineStr">
        <is>
          <t>CTR-01367</t>
        </is>
      </c>
      <c r="B1342" t="inlineStr">
        <is>
          <t>CLI-00692</t>
        </is>
      </c>
      <c r="C1342" t="inlineStr">
        <is>
          <t>Guadeloupe</t>
        </is>
      </c>
      <c r="D1342" t="inlineStr">
        <is>
          <t>auto</t>
        </is>
      </c>
      <c r="E1342" t="inlineStr">
        <is>
          <t>LLD</t>
        </is>
      </c>
      <c r="F1342" t="inlineStr">
        <is>
          <t>2026-01-13</t>
        </is>
      </c>
      <c r="G1342" s="4" t="n">
        <v>38023.85</v>
      </c>
      <c r="H1342" s="4">
        <f>MAX(0,G1342-SUMIFS('Paiements contrat'!$B:$B,'Paiements contrat'!$A:$A,A1342))</f>
        <v/>
      </c>
      <c r="I1342" s="4" t="n">
        <v>35075.81</v>
      </c>
      <c r="J1342" t="inlineStr">
        <is>
          <t>actif</t>
        </is>
      </c>
    </row>
    <row r="1343">
      <c r="A1343" t="inlineStr">
        <is>
          <t>CTR-01369</t>
        </is>
      </c>
      <c r="B1343" t="inlineStr">
        <is>
          <t>CLI-00767</t>
        </is>
      </c>
      <c r="C1343" t="inlineStr">
        <is>
          <t>Martinique</t>
        </is>
      </c>
      <c r="D1343" t="inlineStr">
        <is>
          <t>auto</t>
        </is>
      </c>
      <c r="E1343" t="inlineStr">
        <is>
          <t>LLD</t>
        </is>
      </c>
      <c r="F1343" t="inlineStr">
        <is>
          <t>2025-11-01</t>
        </is>
      </c>
      <c r="G1343" s="4" t="n">
        <v>45180.94</v>
      </c>
      <c r="H1343" s="4">
        <f>MAX(0,G1343-SUMIFS('Paiements contrat'!$B:$B,'Paiements contrat'!$A:$A,A1343))</f>
        <v/>
      </c>
      <c r="I1343" s="4" t="n">
        <v>41696.26</v>
      </c>
      <c r="J1343" t="inlineStr">
        <is>
          <t>actif</t>
        </is>
      </c>
    </row>
    <row r="1344">
      <c r="A1344" t="inlineStr">
        <is>
          <t>CTR-01370</t>
        </is>
      </c>
      <c r="B1344" t="inlineStr">
        <is>
          <t>CLI-01484</t>
        </is>
      </c>
      <c r="C1344" t="inlineStr">
        <is>
          <t>Île-de-France</t>
        </is>
      </c>
      <c r="D1344" t="inlineStr">
        <is>
          <t>auto</t>
        </is>
      </c>
      <c r="E1344" t="inlineStr">
        <is>
          <t>LOA</t>
        </is>
      </c>
      <c r="F1344" t="inlineStr">
        <is>
          <t>2024-12-07</t>
        </is>
      </c>
      <c r="G1344" s="4" t="n">
        <v>28553.62</v>
      </c>
      <c r="H1344" s="4">
        <f>MAX(0,G1344-SUMIFS('Paiements contrat'!$B:$B,'Paiements contrat'!$A:$A,A1344))</f>
        <v/>
      </c>
      <c r="I1344" s="4" t="n">
        <v>21262.06</v>
      </c>
      <c r="J1344" t="inlineStr">
        <is>
          <t>actif</t>
        </is>
      </c>
    </row>
    <row r="1345">
      <c r="A1345" t="inlineStr">
        <is>
          <t>CTR-01371</t>
        </is>
      </c>
      <c r="B1345" t="inlineStr">
        <is>
          <t>CLI-00179</t>
        </is>
      </c>
      <c r="C1345" t="inlineStr">
        <is>
          <t>Île-de-France</t>
        </is>
      </c>
      <c r="D1345" t="inlineStr">
        <is>
          <t>auto</t>
        </is>
      </c>
      <c r="E1345" t="inlineStr">
        <is>
          <t>LOA</t>
        </is>
      </c>
      <c r="F1345" t="inlineStr">
        <is>
          <t>2024-07-10</t>
        </is>
      </c>
      <c r="G1345" s="4" t="n">
        <v>59101.51</v>
      </c>
      <c r="H1345" s="4">
        <f>MAX(0,G1345-SUMIFS('Paiements contrat'!$B:$B,'Paiements contrat'!$A:$A,A1345))</f>
        <v/>
      </c>
      <c r="I1345" s="4" t="n">
        <v>13926.25109746507</v>
      </c>
      <c r="J1345" t="inlineStr">
        <is>
          <t>actif</t>
        </is>
      </c>
    </row>
    <row r="1346">
      <c r="A1346" t="inlineStr">
        <is>
          <t>CTR-01372</t>
        </is>
      </c>
      <c r="B1346" t="inlineStr">
        <is>
          <t>CLI-00435</t>
        </is>
      </c>
      <c r="C1346" t="inlineStr">
        <is>
          <t>Île-de-France</t>
        </is>
      </c>
      <c r="D1346" t="inlineStr">
        <is>
          <t>bateau</t>
        </is>
      </c>
      <c r="E1346" t="inlineStr">
        <is>
          <t>LOA</t>
        </is>
      </c>
      <c r="F1346" t="inlineStr">
        <is>
          <t>2025-03-10</t>
        </is>
      </c>
      <c r="G1346" s="4" t="n">
        <v>194705.16</v>
      </c>
      <c r="H1346" s="4">
        <f>MAX(0,G1346-SUMIFS('Paiements contrat'!$B:$B,'Paiements contrat'!$A:$A,A1346))</f>
        <v/>
      </c>
      <c r="I1346" s="4" t="n">
        <v>152287.6</v>
      </c>
      <c r="J1346" t="inlineStr">
        <is>
          <t>actif</t>
        </is>
      </c>
    </row>
    <row r="1347">
      <c r="A1347" t="inlineStr">
        <is>
          <t>CTR-01373</t>
        </is>
      </c>
      <c r="B1347" t="inlineStr">
        <is>
          <t>CLI-00643</t>
        </is>
      </c>
      <c r="C1347" t="inlineStr">
        <is>
          <t>Guadeloupe</t>
        </is>
      </c>
      <c r="D1347" t="inlineStr">
        <is>
          <t>auto</t>
        </is>
      </c>
      <c r="E1347" t="inlineStr">
        <is>
          <t>LLD</t>
        </is>
      </c>
      <c r="F1347" t="inlineStr">
        <is>
          <t>2025-06-11</t>
        </is>
      </c>
      <c r="G1347" s="4" t="n">
        <v>53363.12</v>
      </c>
      <c r="H1347" s="4">
        <f>MAX(0,G1347-SUMIFS('Paiements contrat'!$B:$B,'Paiements contrat'!$A:$A,A1347))</f>
        <v/>
      </c>
      <c r="I1347" s="4" t="n">
        <v>42457.63</v>
      </c>
      <c r="J1347" t="inlineStr">
        <is>
          <t>actif</t>
        </is>
      </c>
    </row>
    <row r="1348">
      <c r="A1348" t="inlineStr">
        <is>
          <t>CTR-01374</t>
        </is>
      </c>
      <c r="B1348" t="inlineStr">
        <is>
          <t>CLI-00464</t>
        </is>
      </c>
      <c r="C1348" t="inlineStr">
        <is>
          <t>Île-de-France</t>
        </is>
      </c>
      <c r="D1348" t="inlineStr">
        <is>
          <t>auto</t>
        </is>
      </c>
      <c r="E1348" t="inlineStr">
        <is>
          <t>LOA</t>
        </is>
      </c>
      <c r="F1348" t="inlineStr">
        <is>
          <t>2024-07-16</t>
        </is>
      </c>
      <c r="G1348" s="4" t="n">
        <v>50817.62</v>
      </c>
      <c r="H1348" s="4">
        <f>MAX(0,G1348-SUMIFS('Paiements contrat'!$B:$B,'Paiements contrat'!$A:$A,A1348))</f>
        <v/>
      </c>
      <c r="I1348" s="4" t="n">
        <v>31742.58</v>
      </c>
      <c r="J1348" t="inlineStr">
        <is>
          <t>actif</t>
        </is>
      </c>
    </row>
    <row r="1349">
      <c r="A1349" t="inlineStr">
        <is>
          <t>CTR-01375</t>
        </is>
      </c>
      <c r="B1349" t="inlineStr">
        <is>
          <t>CLI-01490</t>
        </is>
      </c>
      <c r="C1349" t="inlineStr">
        <is>
          <t>Guadeloupe</t>
        </is>
      </c>
      <c r="D1349" t="inlineStr">
        <is>
          <t>materiel</t>
        </is>
      </c>
      <c r="E1349" t="inlineStr">
        <is>
          <t>crédit-bail</t>
        </is>
      </c>
      <c r="F1349" t="inlineStr">
        <is>
          <t>2024-07-11</t>
        </is>
      </c>
      <c r="G1349" s="4" t="n">
        <v>167399.62</v>
      </c>
      <c r="H1349" s="4">
        <f>MAX(0,G1349-SUMIFS('Paiements contrat'!$B:$B,'Paiements contrat'!$A:$A,A1349))</f>
        <v/>
      </c>
      <c r="I1349" s="4" t="n">
        <v>115197.8854330592</v>
      </c>
      <c r="J1349" t="inlineStr">
        <is>
          <t>actif</t>
        </is>
      </c>
    </row>
    <row r="1350">
      <c r="A1350" t="inlineStr">
        <is>
          <t>CTR-01376</t>
        </is>
      </c>
      <c r="B1350" t="inlineStr">
        <is>
          <t>CLI-00440</t>
        </is>
      </c>
      <c r="C1350" t="inlineStr">
        <is>
          <t>Réunion</t>
        </is>
      </c>
      <c r="D1350" t="inlineStr">
        <is>
          <t>auto</t>
        </is>
      </c>
      <c r="E1350" t="inlineStr">
        <is>
          <t>LOA</t>
        </is>
      </c>
      <c r="F1350" t="inlineStr">
        <is>
          <t>2026-01-20</t>
        </is>
      </c>
      <c r="G1350" s="4" t="n">
        <v>40376.35</v>
      </c>
      <c r="H1350" s="4">
        <f>MAX(0,G1350-SUMIFS('Paiements contrat'!$B:$B,'Paiements contrat'!$A:$A,A1350))</f>
        <v/>
      </c>
      <c r="I1350" s="4" t="n">
        <v>38749.5</v>
      </c>
      <c r="J1350" t="inlineStr">
        <is>
          <t>actif</t>
        </is>
      </c>
    </row>
    <row r="1351">
      <c r="A1351" t="inlineStr">
        <is>
          <t>CTR-01377</t>
        </is>
      </c>
      <c r="B1351" t="inlineStr">
        <is>
          <t>CLI-01323</t>
        </is>
      </c>
      <c r="C1351" t="inlineStr">
        <is>
          <t>Réunion</t>
        </is>
      </c>
      <c r="D1351" t="inlineStr">
        <is>
          <t>auto</t>
        </is>
      </c>
      <c r="E1351" t="inlineStr">
        <is>
          <t>LLD</t>
        </is>
      </c>
      <c r="F1351" t="inlineStr">
        <is>
          <t>2025-03-12</t>
        </is>
      </c>
      <c r="G1351" s="4" t="n">
        <v>43821.58</v>
      </c>
      <c r="H1351" s="4">
        <f>MAX(0,G1351-SUMIFS('Paiements contrat'!$B:$B,'Paiements contrat'!$A:$A,A1351))</f>
        <v/>
      </c>
      <c r="I1351" s="4" t="n">
        <v>28100.1</v>
      </c>
      <c r="J1351" t="inlineStr">
        <is>
          <t>actif</t>
        </is>
      </c>
    </row>
    <row r="1352">
      <c r="A1352" t="inlineStr">
        <is>
          <t>CTR-01378</t>
        </is>
      </c>
      <c r="B1352" t="inlineStr">
        <is>
          <t>CLI-00229</t>
        </is>
      </c>
      <c r="C1352" t="inlineStr">
        <is>
          <t>Martinique</t>
        </is>
      </c>
      <c r="D1352" t="inlineStr">
        <is>
          <t>materiel</t>
        </is>
      </c>
      <c r="E1352" t="inlineStr">
        <is>
          <t>crédit-bail</t>
        </is>
      </c>
      <c r="F1352" t="inlineStr">
        <is>
          <t>2025-03-14</t>
        </is>
      </c>
      <c r="G1352" s="4" t="n">
        <v>27432.77</v>
      </c>
      <c r="H1352" s="4">
        <f>MAX(0,G1352-SUMIFS('Paiements contrat'!$B:$B,'Paiements contrat'!$A:$A,A1352))</f>
        <v/>
      </c>
      <c r="I1352" s="4" t="n">
        <v>11539.46221610308</v>
      </c>
      <c r="J1352" t="inlineStr">
        <is>
          <t>actif</t>
        </is>
      </c>
    </row>
    <row r="1353">
      <c r="A1353" t="inlineStr">
        <is>
          <t>CTR-01379</t>
        </is>
      </c>
      <c r="B1353" t="inlineStr">
        <is>
          <t>CLI-01298</t>
        </is>
      </c>
      <c r="C1353" t="inlineStr">
        <is>
          <t>Guadeloupe</t>
        </is>
      </c>
      <c r="D1353" t="inlineStr">
        <is>
          <t>auto</t>
        </is>
      </c>
      <c r="E1353" t="inlineStr">
        <is>
          <t>LOA</t>
        </is>
      </c>
      <c r="F1353" t="inlineStr">
        <is>
          <t>2025-07-03</t>
        </is>
      </c>
      <c r="G1353" s="4" t="n">
        <v>64771.3</v>
      </c>
      <c r="H1353" s="4">
        <f>MAX(0,G1353-SUMIFS('Paiements contrat'!$B:$B,'Paiements contrat'!$A:$A,A1353))</f>
        <v/>
      </c>
      <c r="I1353" s="4" t="n">
        <v>50831.78</v>
      </c>
      <c r="J1353" t="inlineStr">
        <is>
          <t>actif</t>
        </is>
      </c>
    </row>
    <row r="1354">
      <c r="A1354" t="inlineStr">
        <is>
          <t>CTR-01380</t>
        </is>
      </c>
      <c r="B1354" t="inlineStr">
        <is>
          <t>CLI-00324</t>
        </is>
      </c>
      <c r="C1354" t="inlineStr">
        <is>
          <t>Île-de-France</t>
        </is>
      </c>
      <c r="D1354" t="inlineStr">
        <is>
          <t>materiel</t>
        </is>
      </c>
      <c r="E1354" t="inlineStr">
        <is>
          <t>crédit-bail</t>
        </is>
      </c>
      <c r="F1354" t="inlineStr">
        <is>
          <t>2024-08-03</t>
        </is>
      </c>
      <c r="G1354" s="4" t="n">
        <v>16915.73</v>
      </c>
      <c r="H1354" s="4">
        <f>MAX(0,G1354-SUMIFS('Paiements contrat'!$B:$B,'Paiements contrat'!$A:$A,A1354))</f>
        <v/>
      </c>
      <c r="I1354" s="4" t="n">
        <v>11696.50670444112</v>
      </c>
      <c r="J1354" t="inlineStr">
        <is>
          <t>actif</t>
        </is>
      </c>
    </row>
    <row r="1355">
      <c r="A1355" t="inlineStr">
        <is>
          <t>CTR-01381</t>
        </is>
      </c>
      <c r="B1355" t="inlineStr">
        <is>
          <t>CLI-00764</t>
        </is>
      </c>
      <c r="C1355" t="inlineStr">
        <is>
          <t>Île-de-France</t>
        </is>
      </c>
      <c r="D1355" t="inlineStr">
        <is>
          <t>auto</t>
        </is>
      </c>
      <c r="E1355" t="inlineStr">
        <is>
          <t>LOA</t>
        </is>
      </c>
      <c r="F1355" t="inlineStr">
        <is>
          <t>2025-07-11</t>
        </is>
      </c>
      <c r="G1355" s="4" t="n">
        <v>61703.01</v>
      </c>
      <c r="H1355" s="4">
        <f>MAX(0,G1355-SUMIFS('Paiements contrat'!$B:$B,'Paiements contrat'!$A:$A,A1355))</f>
        <v/>
      </c>
      <c r="I1355" s="4" t="n">
        <v>25992.55</v>
      </c>
      <c r="J1355" t="inlineStr">
        <is>
          <t>actif</t>
        </is>
      </c>
    </row>
    <row r="1356">
      <c r="A1356" t="inlineStr">
        <is>
          <t>CTR-01382</t>
        </is>
      </c>
      <c r="B1356" t="inlineStr">
        <is>
          <t>CLI-01250</t>
        </is>
      </c>
      <c r="C1356" t="inlineStr">
        <is>
          <t>Île-de-France</t>
        </is>
      </c>
      <c r="D1356" t="inlineStr">
        <is>
          <t>auto</t>
        </is>
      </c>
      <c r="E1356" t="inlineStr">
        <is>
          <t>LOA</t>
        </is>
      </c>
      <c r="F1356" t="inlineStr">
        <is>
          <t>2026-03-05</t>
        </is>
      </c>
      <c r="G1356" s="4" t="n">
        <v>29855.33</v>
      </c>
      <c r="H1356" s="4">
        <f>MAX(0,G1356-SUMIFS('Paiements contrat'!$B:$B,'Paiements contrat'!$A:$A,A1356))</f>
        <v/>
      </c>
      <c r="I1356" s="4" t="n">
        <v>29855.33</v>
      </c>
      <c r="J1356" t="inlineStr">
        <is>
          <t>actif</t>
        </is>
      </c>
    </row>
    <row r="1357">
      <c r="A1357" t="inlineStr">
        <is>
          <t>CTR-01383</t>
        </is>
      </c>
      <c r="B1357" t="inlineStr">
        <is>
          <t>CLI-00906</t>
        </is>
      </c>
      <c r="C1357" t="inlineStr">
        <is>
          <t>Île-de-France</t>
        </is>
      </c>
      <c r="D1357" t="inlineStr">
        <is>
          <t>materiel</t>
        </is>
      </c>
      <c r="E1357" t="inlineStr">
        <is>
          <t>crédit-bail</t>
        </is>
      </c>
      <c r="F1357" t="inlineStr">
        <is>
          <t>2025-10-26</t>
        </is>
      </c>
      <c r="G1357" s="4" t="n">
        <v>136588.16</v>
      </c>
      <c r="H1357" s="4">
        <f>MAX(0,G1357-SUMIFS('Paiements contrat'!$B:$B,'Paiements contrat'!$A:$A,A1357))</f>
        <v/>
      </c>
      <c r="I1357" s="4" t="n">
        <v>108729.73</v>
      </c>
      <c r="J1357" t="inlineStr">
        <is>
          <t>actif</t>
        </is>
      </c>
    </row>
    <row r="1358">
      <c r="A1358" t="inlineStr">
        <is>
          <t>CTR-01384</t>
        </is>
      </c>
      <c r="B1358" t="inlineStr">
        <is>
          <t>CLI-00631</t>
        </is>
      </c>
      <c r="C1358" t="inlineStr">
        <is>
          <t>Île-de-France</t>
        </is>
      </c>
      <c r="D1358" t="inlineStr">
        <is>
          <t>auto</t>
        </is>
      </c>
      <c r="E1358" t="inlineStr">
        <is>
          <t>LOA</t>
        </is>
      </c>
      <c r="F1358" t="inlineStr">
        <is>
          <t>2026-02-25</t>
        </is>
      </c>
      <c r="G1358" s="4" t="n">
        <v>61231.31</v>
      </c>
      <c r="H1358" s="4">
        <f>MAX(0,G1358-SUMIFS('Paiements contrat'!$B:$B,'Paiements contrat'!$A:$A,A1358))</f>
        <v/>
      </c>
      <c r="I1358" s="4" t="n">
        <v>58868.14</v>
      </c>
      <c r="J1358" t="inlineStr">
        <is>
          <t>actif</t>
        </is>
      </c>
    </row>
    <row r="1359">
      <c r="A1359" t="inlineStr">
        <is>
          <t>CTR-01385</t>
        </is>
      </c>
      <c r="B1359" t="inlineStr">
        <is>
          <t>CLI-00716</t>
        </is>
      </c>
      <c r="C1359" t="inlineStr">
        <is>
          <t>Île-de-France</t>
        </is>
      </c>
      <c r="D1359" t="inlineStr">
        <is>
          <t>auto</t>
        </is>
      </c>
      <c r="E1359" t="inlineStr">
        <is>
          <t>LOA</t>
        </is>
      </c>
      <c r="F1359" t="inlineStr">
        <is>
          <t>2024-08-21</t>
        </is>
      </c>
      <c r="G1359" s="4" t="n">
        <v>52709.29</v>
      </c>
      <c r="H1359" s="4">
        <f>MAX(0,G1359-SUMIFS('Paiements contrat'!$B:$B,'Paiements contrat'!$A:$A,A1359))</f>
        <v/>
      </c>
      <c r="I1359" s="4" t="n">
        <v>0</v>
      </c>
      <c r="J1359" t="inlineStr">
        <is>
          <t>soldé</t>
        </is>
      </c>
    </row>
    <row r="1360">
      <c r="A1360" t="inlineStr">
        <is>
          <t>CTR-01386</t>
        </is>
      </c>
      <c r="B1360" t="inlineStr">
        <is>
          <t>CLI-00395</t>
        </is>
      </c>
      <c r="C1360" t="inlineStr">
        <is>
          <t>Île-de-France</t>
        </is>
      </c>
      <c r="D1360" t="inlineStr">
        <is>
          <t>materiel</t>
        </is>
      </c>
      <c r="E1360" t="inlineStr">
        <is>
          <t>crédit-bail</t>
        </is>
      </c>
      <c r="F1360" t="inlineStr">
        <is>
          <t>2025-07-07</t>
        </is>
      </c>
      <c r="G1360" s="4" t="n">
        <v>137974.71</v>
      </c>
      <c r="H1360" s="4">
        <f>MAX(0,G1360-SUMIFS('Paiements contrat'!$B:$B,'Paiements contrat'!$A:$A,A1360))</f>
        <v/>
      </c>
      <c r="I1360" s="4" t="n">
        <v>124895.05</v>
      </c>
      <c r="J1360" t="inlineStr">
        <is>
          <t>actif</t>
        </is>
      </c>
    </row>
    <row r="1361">
      <c r="A1361" t="inlineStr">
        <is>
          <t>CTR-01387</t>
        </is>
      </c>
      <c r="B1361" t="inlineStr">
        <is>
          <t>CLI-00211</t>
        </is>
      </c>
      <c r="C1361" t="inlineStr">
        <is>
          <t>Île-de-France</t>
        </is>
      </c>
      <c r="D1361" t="inlineStr">
        <is>
          <t>bateau</t>
        </is>
      </c>
      <c r="E1361" t="inlineStr">
        <is>
          <t>LOA</t>
        </is>
      </c>
      <c r="F1361" t="inlineStr">
        <is>
          <t>2024-12-25</t>
        </is>
      </c>
      <c r="G1361" s="4" t="n">
        <v>168949.57</v>
      </c>
      <c r="H1361" s="4">
        <f>MAX(0,G1361-SUMIFS('Paiements contrat'!$B:$B,'Paiements contrat'!$A:$A,A1361))</f>
        <v/>
      </c>
      <c r="I1361" s="4" t="n">
        <v>105551.0316594561</v>
      </c>
      <c r="J1361" t="inlineStr">
        <is>
          <t>actif</t>
        </is>
      </c>
    </row>
    <row r="1362">
      <c r="A1362" t="inlineStr">
        <is>
          <t>CTR-01388</t>
        </is>
      </c>
      <c r="B1362" t="inlineStr">
        <is>
          <t>CLI-00473</t>
        </is>
      </c>
      <c r="C1362" t="inlineStr">
        <is>
          <t>Île-de-France</t>
        </is>
      </c>
      <c r="D1362" t="inlineStr">
        <is>
          <t>auto</t>
        </is>
      </c>
      <c r="E1362" t="inlineStr">
        <is>
          <t>LOA</t>
        </is>
      </c>
      <c r="F1362" t="inlineStr">
        <is>
          <t>2025-08-16</t>
        </is>
      </c>
      <c r="G1362" s="4" t="n">
        <v>25373.78</v>
      </c>
      <c r="H1362" s="4">
        <f>MAX(0,G1362-SUMIFS('Paiements contrat'!$B:$B,'Paiements contrat'!$A:$A,A1362))</f>
        <v/>
      </c>
      <c r="I1362" s="4" t="n">
        <v>21383.49</v>
      </c>
      <c r="J1362" t="inlineStr">
        <is>
          <t>actif</t>
        </is>
      </c>
    </row>
    <row r="1363">
      <c r="A1363" t="inlineStr">
        <is>
          <t>CTR-01389</t>
        </is>
      </c>
      <c r="B1363" t="inlineStr">
        <is>
          <t>CLI-00346</t>
        </is>
      </c>
      <c r="C1363" t="inlineStr">
        <is>
          <t>Île-de-France</t>
        </is>
      </c>
      <c r="D1363" t="inlineStr">
        <is>
          <t>materiel</t>
        </is>
      </c>
      <c r="E1363" t="inlineStr">
        <is>
          <t>crédit-bail</t>
        </is>
      </c>
      <c r="F1363" t="inlineStr">
        <is>
          <t>2025-02-26</t>
        </is>
      </c>
      <c r="G1363" s="4" t="n">
        <v>182391.29</v>
      </c>
      <c r="H1363" s="4">
        <f>MAX(0,G1363-SUMIFS('Paiements contrat'!$B:$B,'Paiements contrat'!$A:$A,A1363))</f>
        <v/>
      </c>
      <c r="I1363" s="4" t="n">
        <v>30233.47</v>
      </c>
      <c r="J1363" t="inlineStr">
        <is>
          <t>actif</t>
        </is>
      </c>
    </row>
    <row r="1364">
      <c r="A1364" t="inlineStr">
        <is>
          <t>CTR-01390</t>
        </is>
      </c>
      <c r="B1364" t="inlineStr">
        <is>
          <t>CLI-00379</t>
        </is>
      </c>
      <c r="C1364" t="inlineStr">
        <is>
          <t>Île-de-France</t>
        </is>
      </c>
      <c r="D1364" t="inlineStr">
        <is>
          <t>materiel</t>
        </is>
      </c>
      <c r="E1364" t="inlineStr">
        <is>
          <t>crédit-bail</t>
        </is>
      </c>
      <c r="F1364" t="inlineStr">
        <is>
          <t>2025-11-15</t>
        </is>
      </c>
      <c r="G1364" s="4" t="n">
        <v>37731.26</v>
      </c>
      <c r="H1364" s="4">
        <f>MAX(0,G1364-SUMIFS('Paiements contrat'!$B:$B,'Paiements contrat'!$A:$A,A1364))</f>
        <v/>
      </c>
      <c r="I1364" s="4" t="n">
        <v>35552.87</v>
      </c>
      <c r="J1364" t="inlineStr">
        <is>
          <t>actif</t>
        </is>
      </c>
    </row>
    <row r="1365">
      <c r="A1365" t="inlineStr">
        <is>
          <t>CTR-01391</t>
        </is>
      </c>
      <c r="B1365" t="inlineStr">
        <is>
          <t>CLI-01091</t>
        </is>
      </c>
      <c r="C1365" t="inlineStr">
        <is>
          <t>Île-de-France</t>
        </is>
      </c>
      <c r="D1365" t="inlineStr">
        <is>
          <t>auto</t>
        </is>
      </c>
      <c r="E1365" t="inlineStr">
        <is>
          <t>LOA</t>
        </is>
      </c>
      <c r="F1365" t="inlineStr">
        <is>
          <t>2025-07-10</t>
        </is>
      </c>
      <c r="G1365" s="4" t="n">
        <v>26355.43</v>
      </c>
      <c r="H1365" s="4">
        <f>MAX(0,G1365-SUMIFS('Paiements contrat'!$B:$B,'Paiements contrat'!$A:$A,A1365))</f>
        <v/>
      </c>
      <c r="I1365" s="4" t="n">
        <v>20070.96</v>
      </c>
      <c r="J1365" t="inlineStr">
        <is>
          <t>actif</t>
        </is>
      </c>
    </row>
    <row r="1366">
      <c r="A1366" t="inlineStr">
        <is>
          <t>CTR-01392</t>
        </is>
      </c>
      <c r="B1366" t="inlineStr">
        <is>
          <t>CLI-00846</t>
        </is>
      </c>
      <c r="C1366" t="inlineStr">
        <is>
          <t>Martinique</t>
        </is>
      </c>
      <c r="D1366" t="inlineStr">
        <is>
          <t>materiel</t>
        </is>
      </c>
      <c r="E1366" t="inlineStr">
        <is>
          <t>crédit-bail</t>
        </is>
      </c>
      <c r="F1366" t="inlineStr">
        <is>
          <t>2024-08-01</t>
        </is>
      </c>
      <c r="G1366" s="4" t="n">
        <v>151266.35</v>
      </c>
      <c r="H1366" s="4">
        <f>MAX(0,G1366-SUMIFS('Paiements contrat'!$B:$B,'Paiements contrat'!$A:$A,A1366))</f>
        <v/>
      </c>
      <c r="I1366" s="4" t="n">
        <v>79679.97</v>
      </c>
      <c r="J1366" t="inlineStr">
        <is>
          <t>actif</t>
        </is>
      </c>
    </row>
    <row r="1367">
      <c r="A1367" t="inlineStr">
        <is>
          <t>CTR-01393</t>
        </is>
      </c>
      <c r="B1367" t="inlineStr">
        <is>
          <t>CLI-00504</t>
        </is>
      </c>
      <c r="C1367" t="inlineStr">
        <is>
          <t>Île-de-France</t>
        </is>
      </c>
      <c r="D1367" t="inlineStr">
        <is>
          <t>materiel</t>
        </is>
      </c>
      <c r="E1367" t="inlineStr">
        <is>
          <t>crédit-bail</t>
        </is>
      </c>
      <c r="F1367" t="inlineStr">
        <is>
          <t>2026-02-04</t>
        </is>
      </c>
      <c r="G1367" s="4" t="n">
        <v>136794.15</v>
      </c>
      <c r="H1367" s="4">
        <f>MAX(0,G1367-SUMIFS('Paiements contrat'!$B:$B,'Paiements contrat'!$A:$A,A1367))</f>
        <v/>
      </c>
      <c r="I1367" s="4" t="n">
        <v>131385.94</v>
      </c>
      <c r="J1367" t="inlineStr">
        <is>
          <t>contentieux</t>
        </is>
      </c>
    </row>
    <row r="1368">
      <c r="A1368" t="inlineStr">
        <is>
          <t>CTR-01394</t>
        </is>
      </c>
      <c r="B1368" t="inlineStr">
        <is>
          <t>CLI-01252</t>
        </is>
      </c>
      <c r="C1368" t="inlineStr">
        <is>
          <t>Île-de-France</t>
        </is>
      </c>
      <c r="D1368" t="inlineStr">
        <is>
          <t>auto</t>
        </is>
      </c>
      <c r="E1368" t="inlineStr">
        <is>
          <t>LOA</t>
        </is>
      </c>
      <c r="F1368" t="inlineStr">
        <is>
          <t>2024-08-08</t>
        </is>
      </c>
      <c r="G1368" s="4" t="n">
        <v>14220.55</v>
      </c>
      <c r="H1368" s="4">
        <f>MAX(0,G1368-SUMIFS('Paiements contrat'!$B:$B,'Paiements contrat'!$A:$A,A1368))</f>
        <v/>
      </c>
      <c r="I1368" s="4" t="n">
        <v>9611.6933015873</v>
      </c>
      <c r="J1368" t="inlineStr">
        <is>
          <t>actif</t>
        </is>
      </c>
    </row>
    <row r="1369">
      <c r="A1369" t="inlineStr">
        <is>
          <t>CTR-01395</t>
        </is>
      </c>
      <c r="B1369" t="inlineStr">
        <is>
          <t>CLI-01085</t>
        </is>
      </c>
      <c r="C1369" t="inlineStr">
        <is>
          <t>Guadeloupe</t>
        </is>
      </c>
      <c r="D1369" t="inlineStr">
        <is>
          <t>auto</t>
        </is>
      </c>
      <c r="E1369" t="inlineStr">
        <is>
          <t>LOA</t>
        </is>
      </c>
      <c r="F1369" t="inlineStr">
        <is>
          <t>2025-07-14</t>
        </is>
      </c>
      <c r="G1369" s="4" t="n">
        <v>44921.62</v>
      </c>
      <c r="H1369" s="4">
        <f>MAX(0,G1369-SUMIFS('Paiements contrat'!$B:$B,'Paiements contrat'!$A:$A,A1369))</f>
        <v/>
      </c>
      <c r="I1369" s="4" t="n">
        <v>18908.56</v>
      </c>
      <c r="J1369" t="inlineStr">
        <is>
          <t>actif</t>
        </is>
      </c>
    </row>
    <row r="1370">
      <c r="A1370" t="inlineStr">
        <is>
          <t>CTR-01396</t>
        </is>
      </c>
      <c r="B1370" t="inlineStr">
        <is>
          <t>CLI-01350</t>
        </is>
      </c>
      <c r="C1370" t="inlineStr">
        <is>
          <t>Réunion</t>
        </is>
      </c>
      <c r="D1370" t="inlineStr">
        <is>
          <t>auto</t>
        </is>
      </c>
      <c r="E1370" t="inlineStr">
        <is>
          <t>LOA</t>
        </is>
      </c>
      <c r="F1370" t="inlineStr">
        <is>
          <t>2025-06-22</t>
        </is>
      </c>
      <c r="G1370" s="4" t="n">
        <v>58929.86</v>
      </c>
      <c r="H1370" s="4">
        <f>MAX(0,G1370-SUMIFS('Paiements contrat'!$B:$B,'Paiements contrat'!$A:$A,A1370))</f>
        <v/>
      </c>
      <c r="I1370" s="4" t="n">
        <v>19893.81</v>
      </c>
      <c r="J1370" t="inlineStr">
        <is>
          <t>actif</t>
        </is>
      </c>
    </row>
    <row r="1371">
      <c r="A1371" t="inlineStr">
        <is>
          <t>CTR-01397</t>
        </is>
      </c>
      <c r="B1371" t="inlineStr">
        <is>
          <t>CLI-00189</t>
        </is>
      </c>
      <c r="C1371" t="inlineStr">
        <is>
          <t>Île-de-France</t>
        </is>
      </c>
      <c r="D1371" t="inlineStr">
        <is>
          <t>auto</t>
        </is>
      </c>
      <c r="E1371" t="inlineStr">
        <is>
          <t>LOA</t>
        </is>
      </c>
      <c r="F1371" t="inlineStr">
        <is>
          <t>2025-05-13</t>
        </is>
      </c>
      <c r="G1371" s="4" t="n">
        <v>63142.77</v>
      </c>
      <c r="H1371" s="4">
        <f>MAX(0,G1371-SUMIFS('Paiements contrat'!$B:$B,'Paiements contrat'!$A:$A,A1371))</f>
        <v/>
      </c>
      <c r="I1371" s="4" t="n">
        <v>40041.13</v>
      </c>
      <c r="J1371" t="inlineStr">
        <is>
          <t>actif</t>
        </is>
      </c>
    </row>
    <row r="1372">
      <c r="A1372" t="inlineStr">
        <is>
          <t>CTR-01399</t>
        </is>
      </c>
      <c r="B1372" t="inlineStr">
        <is>
          <t>CLI-00521</t>
        </is>
      </c>
      <c r="C1372" t="inlineStr">
        <is>
          <t>Île-de-France</t>
        </is>
      </c>
      <c r="D1372" t="inlineStr">
        <is>
          <t>auto</t>
        </is>
      </c>
      <c r="E1372" t="inlineStr">
        <is>
          <t>LOA</t>
        </is>
      </c>
      <c r="F1372" t="inlineStr">
        <is>
          <t>2024-08-23</t>
        </is>
      </c>
      <c r="G1372" s="4" t="n">
        <v>70054.75</v>
      </c>
      <c r="H1372" s="4">
        <f>MAX(0,G1372-SUMIFS('Paiements contrat'!$B:$B,'Paiements contrat'!$A:$A,A1372))</f>
        <v/>
      </c>
      <c r="I1372" s="4" t="n">
        <v>21029.38</v>
      </c>
      <c r="J1372" t="inlineStr">
        <is>
          <t>actif</t>
        </is>
      </c>
    </row>
    <row r="1373">
      <c r="A1373" t="inlineStr">
        <is>
          <t>CTR-01400</t>
        </is>
      </c>
      <c r="B1373" t="inlineStr">
        <is>
          <t>CLI-01217</t>
        </is>
      </c>
      <c r="C1373" t="inlineStr">
        <is>
          <t>Réunion</t>
        </is>
      </c>
      <c r="D1373" t="inlineStr">
        <is>
          <t>auto</t>
        </is>
      </c>
      <c r="E1373" t="inlineStr">
        <is>
          <t>LOA</t>
        </is>
      </c>
      <c r="F1373" t="inlineStr">
        <is>
          <t>2024-08-13</t>
        </is>
      </c>
      <c r="G1373" s="4" t="n">
        <v>13327.7</v>
      </c>
      <c r="H1373" s="4">
        <f>MAX(0,G1373-SUMIFS('Paiements contrat'!$B:$B,'Paiements contrat'!$A:$A,A1373))</f>
        <v/>
      </c>
      <c r="I1373" s="4" t="n">
        <v>9804.1</v>
      </c>
      <c r="J1373" t="inlineStr">
        <is>
          <t>actif</t>
        </is>
      </c>
    </row>
    <row r="1374">
      <c r="A1374" t="inlineStr">
        <is>
          <t>CTR-01401</t>
        </is>
      </c>
      <c r="B1374" t="inlineStr">
        <is>
          <t>CLI-00708</t>
        </is>
      </c>
      <c r="C1374" t="inlineStr">
        <is>
          <t>Guadeloupe</t>
        </is>
      </c>
      <c r="D1374" t="inlineStr">
        <is>
          <t>auto</t>
        </is>
      </c>
      <c r="E1374" t="inlineStr">
        <is>
          <t>LLD</t>
        </is>
      </c>
      <c r="F1374" t="inlineStr">
        <is>
          <t>2025-12-22</t>
        </is>
      </c>
      <c r="G1374" s="4" t="n">
        <v>56189.58</v>
      </c>
      <c r="H1374" s="4">
        <f>MAX(0,G1374-SUMIFS('Paiements contrat'!$B:$B,'Paiements contrat'!$A:$A,A1374))</f>
        <v/>
      </c>
      <c r="I1374" s="4" t="n">
        <v>52953.44</v>
      </c>
      <c r="J1374" t="inlineStr">
        <is>
          <t>actif</t>
        </is>
      </c>
    </row>
    <row r="1375">
      <c r="A1375" t="inlineStr">
        <is>
          <t>CTR-01402</t>
        </is>
      </c>
      <c r="B1375" t="inlineStr">
        <is>
          <t>CLI-00254</t>
        </is>
      </c>
      <c r="C1375" t="inlineStr">
        <is>
          <t>Martinique</t>
        </is>
      </c>
      <c r="D1375" t="inlineStr">
        <is>
          <t>materiel</t>
        </is>
      </c>
      <c r="E1375" t="inlineStr">
        <is>
          <t>crédit-bail</t>
        </is>
      </c>
      <c r="F1375" t="inlineStr">
        <is>
          <t>2025-05-14</t>
        </is>
      </c>
      <c r="G1375" s="4" t="n">
        <v>85716.3</v>
      </c>
      <c r="H1375" s="4">
        <f>MAX(0,G1375-SUMIFS('Paiements contrat'!$B:$B,'Paiements contrat'!$A:$A,A1375))</f>
        <v/>
      </c>
      <c r="I1375" s="4" t="n">
        <v>66511.09192762071</v>
      </c>
      <c r="J1375" t="inlineStr">
        <is>
          <t>actif</t>
        </is>
      </c>
    </row>
    <row r="1376">
      <c r="A1376" t="inlineStr">
        <is>
          <t>CTR-01403</t>
        </is>
      </c>
      <c r="B1376" t="inlineStr">
        <is>
          <t>CLI-00462</t>
        </is>
      </c>
      <c r="C1376" t="inlineStr">
        <is>
          <t>Île-de-France</t>
        </is>
      </c>
      <c r="D1376" t="inlineStr">
        <is>
          <t>auto</t>
        </is>
      </c>
      <c r="E1376" t="inlineStr">
        <is>
          <t>LOA</t>
        </is>
      </c>
      <c r="F1376" t="inlineStr">
        <is>
          <t>2024-12-19</t>
        </is>
      </c>
      <c r="G1376" s="4" t="n">
        <v>28386.26</v>
      </c>
      <c r="H1376" s="4">
        <f>MAX(0,G1376-SUMIFS('Paiements contrat'!$B:$B,'Paiements contrat'!$A:$A,A1376))</f>
        <v/>
      </c>
      <c r="I1376" s="4" t="n">
        <v>11003.69</v>
      </c>
      <c r="J1376" t="inlineStr">
        <is>
          <t>actif</t>
        </is>
      </c>
    </row>
    <row r="1377">
      <c r="A1377" t="inlineStr">
        <is>
          <t>CTR-01404</t>
        </is>
      </c>
      <c r="B1377" t="inlineStr">
        <is>
          <t>CLI-01302</t>
        </is>
      </c>
      <c r="C1377" t="inlineStr">
        <is>
          <t>Martinique</t>
        </is>
      </c>
      <c r="D1377" t="inlineStr">
        <is>
          <t>auto</t>
        </is>
      </c>
      <c r="E1377" t="inlineStr">
        <is>
          <t>LOA</t>
        </is>
      </c>
      <c r="F1377" t="inlineStr">
        <is>
          <t>2025-02-20</t>
        </is>
      </c>
      <c r="G1377" s="4" t="n">
        <v>66551.7</v>
      </c>
      <c r="H1377" s="4">
        <f>MAX(0,G1377-SUMIFS('Paiements contrat'!$B:$B,'Paiements contrat'!$A:$A,A1377))</f>
        <v/>
      </c>
      <c r="I1377" s="4" t="n">
        <v>33832.89999999999</v>
      </c>
      <c r="J1377" t="inlineStr">
        <is>
          <t>actif</t>
        </is>
      </c>
    </row>
    <row r="1378">
      <c r="A1378" t="inlineStr">
        <is>
          <t>CTR-01405</t>
        </is>
      </c>
      <c r="B1378" t="inlineStr">
        <is>
          <t>CLI-00238</t>
        </is>
      </c>
      <c r="C1378" t="inlineStr">
        <is>
          <t>Île-de-France</t>
        </is>
      </c>
      <c r="D1378" t="inlineStr">
        <is>
          <t>auto</t>
        </is>
      </c>
      <c r="E1378" t="inlineStr">
        <is>
          <t>LOA</t>
        </is>
      </c>
      <c r="F1378" t="inlineStr">
        <is>
          <t>2025-05-06</t>
        </is>
      </c>
      <c r="G1378" s="4" t="n">
        <v>65903.31</v>
      </c>
      <c r="H1378" s="4">
        <f>MAX(0,G1378-SUMIFS('Paiements contrat'!$B:$B,'Paiements contrat'!$A:$A,A1378))</f>
        <v/>
      </c>
      <c r="I1378" s="4" t="n">
        <v>41682.11</v>
      </c>
      <c r="J1378" t="inlineStr">
        <is>
          <t>actif</t>
        </is>
      </c>
    </row>
    <row r="1379">
      <c r="A1379" t="inlineStr">
        <is>
          <t>CTR-01406</t>
        </is>
      </c>
      <c r="B1379" t="inlineStr">
        <is>
          <t>CLI-00103</t>
        </is>
      </c>
      <c r="C1379" t="inlineStr">
        <is>
          <t>Réunion</t>
        </is>
      </c>
      <c r="D1379" t="inlineStr">
        <is>
          <t>auto</t>
        </is>
      </c>
      <c r="E1379" t="inlineStr">
        <is>
          <t>LOA</t>
        </is>
      </c>
      <c r="F1379" t="inlineStr">
        <is>
          <t>2024-09-05</t>
        </is>
      </c>
      <c r="G1379" s="4" t="n">
        <v>15440.92</v>
      </c>
      <c r="H1379" s="4">
        <f>MAX(0,G1379-SUMIFS('Paiements contrat'!$B:$B,'Paiements contrat'!$A:$A,A1379))</f>
        <v/>
      </c>
      <c r="I1379" s="4" t="n">
        <v>10264.79110816855</v>
      </c>
      <c r="J1379" t="inlineStr">
        <is>
          <t>actif</t>
        </is>
      </c>
    </row>
    <row r="1380">
      <c r="A1380" t="inlineStr">
        <is>
          <t>CTR-01407</t>
        </is>
      </c>
      <c r="B1380" t="inlineStr">
        <is>
          <t>CLI-00231</t>
        </is>
      </c>
      <c r="C1380" t="inlineStr">
        <is>
          <t>Île-de-France</t>
        </is>
      </c>
      <c r="D1380" t="inlineStr">
        <is>
          <t>auto</t>
        </is>
      </c>
      <c r="E1380" t="inlineStr">
        <is>
          <t>LOA</t>
        </is>
      </c>
      <c r="F1380" t="inlineStr">
        <is>
          <t>2024-09-10</t>
        </is>
      </c>
      <c r="G1380" s="4" t="n">
        <v>43829.14</v>
      </c>
      <c r="H1380" s="4">
        <f>MAX(0,G1380-SUMIFS('Paiements contrat'!$B:$B,'Paiements contrat'!$A:$A,A1380))</f>
        <v/>
      </c>
      <c r="I1380" s="4" t="n">
        <v>13298.88</v>
      </c>
      <c r="J1380" t="inlineStr">
        <is>
          <t>actif</t>
        </is>
      </c>
    </row>
    <row r="1381">
      <c r="A1381" t="inlineStr">
        <is>
          <t>CTR-01408</t>
        </is>
      </c>
      <c r="B1381" t="inlineStr">
        <is>
          <t>CLI-00244</t>
        </is>
      </c>
      <c r="C1381" t="inlineStr">
        <is>
          <t>Île-de-France</t>
        </is>
      </c>
      <c r="D1381" t="inlineStr">
        <is>
          <t>auto</t>
        </is>
      </c>
      <c r="E1381" t="inlineStr">
        <is>
          <t>LOA</t>
        </is>
      </c>
      <c r="F1381" t="inlineStr">
        <is>
          <t>2026-02-17</t>
        </is>
      </c>
      <c r="G1381" s="4" t="n">
        <v>61388.68</v>
      </c>
      <c r="H1381" s="4">
        <f>MAX(0,G1381-SUMIFS('Paiements contrat'!$B:$B,'Paiements contrat'!$A:$A,A1381))</f>
        <v/>
      </c>
      <c r="I1381" s="4" t="n">
        <v>56343.29</v>
      </c>
      <c r="J1381" t="inlineStr">
        <is>
          <t>actif</t>
        </is>
      </c>
    </row>
    <row r="1382">
      <c r="A1382" t="inlineStr">
        <is>
          <t>CTR-01409</t>
        </is>
      </c>
      <c r="B1382" t="inlineStr">
        <is>
          <t>CLI-01008</t>
        </is>
      </c>
      <c r="C1382" t="inlineStr">
        <is>
          <t>Île-de-France</t>
        </is>
      </c>
      <c r="D1382" t="inlineStr">
        <is>
          <t>materiel</t>
        </is>
      </c>
      <c r="E1382" t="inlineStr">
        <is>
          <t>crédit-bail</t>
        </is>
      </c>
      <c r="F1382" t="inlineStr">
        <is>
          <t>2025-03-15</t>
        </is>
      </c>
      <c r="G1382" s="4" t="n">
        <v>109286.16</v>
      </c>
      <c r="H1382" s="4">
        <f>MAX(0,G1382-SUMIFS('Paiements contrat'!$B:$B,'Paiements contrat'!$A:$A,A1382))</f>
        <v/>
      </c>
      <c r="I1382" s="4" t="n">
        <v>80823.64</v>
      </c>
      <c r="J1382" t="inlineStr">
        <is>
          <t>actif</t>
        </is>
      </c>
    </row>
    <row r="1383">
      <c r="A1383" t="inlineStr">
        <is>
          <t>CTR-01410</t>
        </is>
      </c>
      <c r="B1383" t="inlineStr">
        <is>
          <t>CLI-01299</t>
        </is>
      </c>
      <c r="C1383" t="inlineStr">
        <is>
          <t>Île-de-France</t>
        </is>
      </c>
      <c r="D1383" t="inlineStr">
        <is>
          <t>auto</t>
        </is>
      </c>
      <c r="E1383" t="inlineStr">
        <is>
          <t>LOA</t>
        </is>
      </c>
      <c r="F1383" t="inlineStr">
        <is>
          <t>2025-11-19</t>
        </is>
      </c>
      <c r="G1383" s="4" t="n">
        <v>26477.03</v>
      </c>
      <c r="H1383" s="4">
        <f>MAX(0,G1383-SUMIFS('Paiements contrat'!$B:$B,'Paiements contrat'!$A:$A,A1383))</f>
        <v/>
      </c>
      <c r="I1383" s="4" t="n">
        <v>23975.32</v>
      </c>
      <c r="J1383" t="inlineStr">
        <is>
          <t>actif</t>
        </is>
      </c>
    </row>
    <row r="1384">
      <c r="A1384" t="inlineStr">
        <is>
          <t>CTR-01411</t>
        </is>
      </c>
      <c r="B1384" t="inlineStr">
        <is>
          <t>CLI-00944</t>
        </is>
      </c>
      <c r="C1384" t="inlineStr">
        <is>
          <t>Île-de-France</t>
        </is>
      </c>
      <c r="D1384" t="inlineStr">
        <is>
          <t>auto</t>
        </is>
      </c>
      <c r="E1384" t="inlineStr">
        <is>
          <t>LOA</t>
        </is>
      </c>
      <c r="F1384" t="inlineStr">
        <is>
          <t>2025-10-22</t>
        </is>
      </c>
      <c r="G1384" s="4" t="n">
        <v>73091.67</v>
      </c>
      <c r="H1384" s="4">
        <f>MAX(0,G1384-SUMIFS('Paiements contrat'!$B:$B,'Paiements contrat'!$A:$A,A1384))</f>
        <v/>
      </c>
      <c r="I1384" s="4" t="n">
        <v>58785.61</v>
      </c>
      <c r="J1384" t="inlineStr">
        <is>
          <t>actif</t>
        </is>
      </c>
    </row>
    <row r="1385">
      <c r="A1385" t="inlineStr">
        <is>
          <t>CTR-01412</t>
        </is>
      </c>
      <c r="B1385" t="inlineStr">
        <is>
          <t>CLI-00773</t>
        </is>
      </c>
      <c r="C1385" t="inlineStr">
        <is>
          <t>Île-de-France</t>
        </is>
      </c>
      <c r="D1385" t="inlineStr">
        <is>
          <t>bateau</t>
        </is>
      </c>
      <c r="E1385" t="inlineStr">
        <is>
          <t>LOA</t>
        </is>
      </c>
      <c r="F1385" t="inlineStr">
        <is>
          <t>2025-08-15</t>
        </is>
      </c>
      <c r="G1385" s="4" t="n">
        <v>216564.72</v>
      </c>
      <c r="H1385" s="4">
        <f>MAX(0,G1385-SUMIFS('Paiements contrat'!$B:$B,'Paiements contrat'!$A:$A,A1385))</f>
        <v/>
      </c>
      <c r="I1385" s="4" t="n">
        <v>175198.43</v>
      </c>
      <c r="J1385" t="inlineStr">
        <is>
          <t>actif</t>
        </is>
      </c>
    </row>
    <row r="1386">
      <c r="A1386" t="inlineStr">
        <is>
          <t>CTR-01413</t>
        </is>
      </c>
      <c r="B1386" t="inlineStr">
        <is>
          <t>CLI-01101</t>
        </is>
      </c>
      <c r="C1386" t="inlineStr">
        <is>
          <t>Île-de-France</t>
        </is>
      </c>
      <c r="D1386" t="inlineStr">
        <is>
          <t>materiel</t>
        </is>
      </c>
      <c r="E1386" t="inlineStr">
        <is>
          <t>crédit-bail</t>
        </is>
      </c>
      <c r="F1386" t="inlineStr">
        <is>
          <t>2025-12-27</t>
        </is>
      </c>
      <c r="G1386" s="4" t="n">
        <v>141719.21</v>
      </c>
      <c r="H1386" s="4">
        <f>MAX(0,G1386-SUMIFS('Paiements contrat'!$B:$B,'Paiements contrat'!$A:$A,A1386))</f>
        <v/>
      </c>
      <c r="I1386" s="4" t="n">
        <v>130565.98</v>
      </c>
      <c r="J1386" t="inlineStr">
        <is>
          <t>actif</t>
        </is>
      </c>
    </row>
    <row r="1387">
      <c r="A1387" t="inlineStr">
        <is>
          <t>CTR-01414</t>
        </is>
      </c>
      <c r="B1387" t="inlineStr">
        <is>
          <t>CLI-01129</t>
        </is>
      </c>
      <c r="C1387" t="inlineStr">
        <is>
          <t>Île-de-France</t>
        </is>
      </c>
      <c r="D1387" t="inlineStr">
        <is>
          <t>bateau</t>
        </is>
      </c>
      <c r="E1387" t="inlineStr">
        <is>
          <t>LOA</t>
        </is>
      </c>
      <c r="F1387" t="inlineStr">
        <is>
          <t>2025-11-26</t>
        </is>
      </c>
      <c r="G1387" s="4" t="n">
        <v>36964.76</v>
      </c>
      <c r="H1387" s="4">
        <f>MAX(0,G1387-SUMIFS('Paiements contrat'!$B:$B,'Paiements contrat'!$A:$A,A1387))</f>
        <v/>
      </c>
      <c r="I1387" s="4" t="n">
        <v>31237.01</v>
      </c>
      <c r="J1387" t="inlineStr">
        <is>
          <t>actif</t>
        </is>
      </c>
    </row>
    <row r="1388">
      <c r="A1388" t="inlineStr">
        <is>
          <t>CTR-01415</t>
        </is>
      </c>
      <c r="B1388" t="inlineStr">
        <is>
          <t>CLI-00247</t>
        </is>
      </c>
      <c r="C1388" t="inlineStr">
        <is>
          <t>Martinique</t>
        </is>
      </c>
      <c r="D1388" t="inlineStr">
        <is>
          <t>auto</t>
        </is>
      </c>
      <c r="E1388" t="inlineStr">
        <is>
          <t>LOA</t>
        </is>
      </c>
      <c r="F1388" t="inlineStr">
        <is>
          <t>2025-07-27</t>
        </is>
      </c>
      <c r="G1388" s="4" t="n">
        <v>52909.13</v>
      </c>
      <c r="H1388" s="4">
        <f>MAX(0,G1388-SUMIFS('Paiements contrat'!$B:$B,'Paiements contrat'!$A:$A,A1388))</f>
        <v/>
      </c>
      <c r="I1388" s="4" t="n">
        <v>47958.57</v>
      </c>
      <c r="J1388" t="inlineStr">
        <is>
          <t>actif</t>
        </is>
      </c>
    </row>
    <row r="1389">
      <c r="A1389" t="inlineStr">
        <is>
          <t>CTR-01416</t>
        </is>
      </c>
      <c r="B1389" t="inlineStr">
        <is>
          <t>CLI-00599</t>
        </is>
      </c>
      <c r="C1389" t="inlineStr">
        <is>
          <t>Guadeloupe</t>
        </is>
      </c>
      <c r="D1389" t="inlineStr">
        <is>
          <t>materiel</t>
        </is>
      </c>
      <c r="E1389" t="inlineStr">
        <is>
          <t>crédit-bail</t>
        </is>
      </c>
      <c r="F1389" t="inlineStr">
        <is>
          <t>2026-03-07</t>
        </is>
      </c>
      <c r="G1389" s="4" t="n">
        <v>126399.82</v>
      </c>
      <c r="H1389" s="4">
        <f>MAX(0,G1389-SUMIFS('Paiements contrat'!$B:$B,'Paiements contrat'!$A:$A,A1389))</f>
        <v/>
      </c>
      <c r="I1389" s="4" t="n">
        <v>126399.82</v>
      </c>
      <c r="J1389" t="inlineStr">
        <is>
          <t>actif</t>
        </is>
      </c>
    </row>
    <row r="1390">
      <c r="A1390" t="inlineStr">
        <is>
          <t>CTR-01417</t>
        </is>
      </c>
      <c r="B1390" t="inlineStr">
        <is>
          <t>CLI-01003</t>
        </is>
      </c>
      <c r="C1390" t="inlineStr">
        <is>
          <t>Réunion</t>
        </is>
      </c>
      <c r="D1390" t="inlineStr">
        <is>
          <t>auto</t>
        </is>
      </c>
      <c r="E1390" t="inlineStr">
        <is>
          <t>LOA</t>
        </is>
      </c>
      <c r="F1390" t="inlineStr">
        <is>
          <t>2025-04-22</t>
        </is>
      </c>
      <c r="G1390" s="4" t="n">
        <v>9301.139999999999</v>
      </c>
      <c r="H1390" s="4">
        <f>MAX(0,G1390-SUMIFS('Paiements contrat'!$B:$B,'Paiements contrat'!$A:$A,A1390))</f>
        <v/>
      </c>
      <c r="I1390" s="4" t="n">
        <v>804.5</v>
      </c>
      <c r="J1390" t="inlineStr">
        <is>
          <t>actif</t>
        </is>
      </c>
    </row>
    <row r="1391">
      <c r="A1391" t="inlineStr">
        <is>
          <t>CTR-01418</t>
        </is>
      </c>
      <c r="B1391" t="inlineStr">
        <is>
          <t>CLI-00446</t>
        </is>
      </c>
      <c r="C1391" t="inlineStr">
        <is>
          <t>Réunion</t>
        </is>
      </c>
      <c r="D1391" t="inlineStr">
        <is>
          <t>materiel</t>
        </is>
      </c>
      <c r="E1391" t="inlineStr">
        <is>
          <t>crédit-bail</t>
        </is>
      </c>
      <c r="F1391" t="inlineStr">
        <is>
          <t>2025-08-23</t>
        </is>
      </c>
      <c r="G1391" s="4" t="n">
        <v>100786.83</v>
      </c>
      <c r="H1391" s="4">
        <f>MAX(0,G1391-SUMIFS('Paiements contrat'!$B:$B,'Paiements contrat'!$A:$A,A1391))</f>
        <v/>
      </c>
      <c r="I1391" s="4" t="n">
        <v>72603.99000000001</v>
      </c>
      <c r="J1391" t="inlineStr">
        <is>
          <t>actif</t>
        </is>
      </c>
    </row>
    <row r="1392">
      <c r="A1392" t="inlineStr">
        <is>
          <t>CTR-01419</t>
        </is>
      </c>
      <c r="B1392" t="inlineStr">
        <is>
          <t>CLI-00582</t>
        </is>
      </c>
      <c r="C1392" t="inlineStr">
        <is>
          <t>Île-de-France</t>
        </is>
      </c>
      <c r="D1392" t="inlineStr">
        <is>
          <t>auto</t>
        </is>
      </c>
      <c r="E1392" t="inlineStr">
        <is>
          <t>LOA</t>
        </is>
      </c>
      <c r="F1392" t="inlineStr">
        <is>
          <t>2025-02-18</t>
        </is>
      </c>
      <c r="G1392" s="4" t="n">
        <v>38986.87</v>
      </c>
      <c r="H1392" s="4">
        <f>MAX(0,G1392-SUMIFS('Paiements contrat'!$B:$B,'Paiements contrat'!$A:$A,A1392))</f>
        <v/>
      </c>
      <c r="I1392" s="4" t="n">
        <v>26923.83</v>
      </c>
      <c r="J1392" t="inlineStr">
        <is>
          <t>actif</t>
        </is>
      </c>
    </row>
    <row r="1393">
      <c r="A1393" t="inlineStr">
        <is>
          <t>CTR-01420</t>
        </is>
      </c>
      <c r="B1393" t="inlineStr">
        <is>
          <t>CLI-01353</t>
        </is>
      </c>
      <c r="C1393" t="inlineStr">
        <is>
          <t>Île-de-France</t>
        </is>
      </c>
      <c r="D1393" t="inlineStr">
        <is>
          <t>auto</t>
        </is>
      </c>
      <c r="E1393" t="inlineStr">
        <is>
          <t>LOA</t>
        </is>
      </c>
      <c r="F1393" t="inlineStr">
        <is>
          <t>2026-01-14</t>
        </is>
      </c>
      <c r="G1393" s="4" t="n">
        <v>54463.35</v>
      </c>
      <c r="H1393" s="4">
        <f>MAX(0,G1393-SUMIFS('Paiements contrat'!$B:$B,'Paiements contrat'!$A:$A,A1393))</f>
        <v/>
      </c>
      <c r="I1393" s="4" t="n">
        <v>45502.68</v>
      </c>
      <c r="J1393" t="inlineStr">
        <is>
          <t>actif</t>
        </is>
      </c>
    </row>
    <row r="1394">
      <c r="A1394" t="inlineStr">
        <is>
          <t>CTR-01421</t>
        </is>
      </c>
      <c r="B1394" t="inlineStr">
        <is>
          <t>CLI-01063</t>
        </is>
      </c>
      <c r="C1394" t="inlineStr">
        <is>
          <t>Guyane</t>
        </is>
      </c>
      <c r="D1394" t="inlineStr">
        <is>
          <t>bateau</t>
        </is>
      </c>
      <c r="E1394" t="inlineStr">
        <is>
          <t>LOA</t>
        </is>
      </c>
      <c r="F1394" t="inlineStr">
        <is>
          <t>2024-04-16</t>
        </is>
      </c>
      <c r="G1394" s="4" t="n">
        <v>193032.15</v>
      </c>
      <c r="H1394" s="4">
        <f>MAX(0,G1394-SUMIFS('Paiements contrat'!$B:$B,'Paiements contrat'!$A:$A,A1394))</f>
        <v/>
      </c>
      <c r="I1394" s="4" t="n">
        <v>127656.3371085098</v>
      </c>
      <c r="J1394" t="inlineStr">
        <is>
          <t>actif</t>
        </is>
      </c>
    </row>
    <row r="1395">
      <c r="A1395" t="inlineStr">
        <is>
          <t>CTR-01422</t>
        </is>
      </c>
      <c r="B1395" t="inlineStr">
        <is>
          <t>CLI-00490</t>
        </is>
      </c>
      <c r="C1395" t="inlineStr">
        <is>
          <t>Martinique</t>
        </is>
      </c>
      <c r="D1395" t="inlineStr">
        <is>
          <t>materiel</t>
        </is>
      </c>
      <c r="E1395" t="inlineStr">
        <is>
          <t>crédit-bail</t>
        </is>
      </c>
      <c r="F1395" t="inlineStr">
        <is>
          <t>2024-06-03</t>
        </is>
      </c>
      <c r="G1395" s="4" t="n">
        <v>14569.63</v>
      </c>
      <c r="H1395" s="4">
        <f>MAX(0,G1395-SUMIFS('Paiements contrat'!$B:$B,'Paiements contrat'!$A:$A,A1395))</f>
        <v/>
      </c>
      <c r="I1395" s="4" t="n">
        <v>3083.709999999999</v>
      </c>
      <c r="J1395" t="inlineStr">
        <is>
          <t>actif</t>
        </is>
      </c>
    </row>
    <row r="1396">
      <c r="A1396" t="inlineStr">
        <is>
          <t>CTR-01423</t>
        </is>
      </c>
      <c r="B1396" t="inlineStr">
        <is>
          <t>CLI-01293</t>
        </is>
      </c>
      <c r="C1396" t="inlineStr">
        <is>
          <t>Île-de-France</t>
        </is>
      </c>
      <c r="D1396" t="inlineStr">
        <is>
          <t>auto</t>
        </is>
      </c>
      <c r="E1396" t="inlineStr">
        <is>
          <t>LOA</t>
        </is>
      </c>
      <c r="F1396" t="inlineStr">
        <is>
          <t>2025-06-14</t>
        </is>
      </c>
      <c r="G1396" s="4" t="n">
        <v>41114.34</v>
      </c>
      <c r="H1396" s="4">
        <f>MAX(0,G1396-SUMIFS('Paiements contrat'!$B:$B,'Paiements contrat'!$A:$A,A1396))</f>
        <v/>
      </c>
      <c r="I1396" s="4" t="n">
        <v>31520.95</v>
      </c>
      <c r="J1396" t="inlineStr">
        <is>
          <t>actif</t>
        </is>
      </c>
    </row>
    <row r="1397">
      <c r="A1397" t="inlineStr">
        <is>
          <t>CTR-01424</t>
        </is>
      </c>
      <c r="B1397" t="inlineStr">
        <is>
          <t>CLI-01065</t>
        </is>
      </c>
      <c r="C1397" t="inlineStr">
        <is>
          <t>Guadeloupe</t>
        </is>
      </c>
      <c r="D1397" t="inlineStr">
        <is>
          <t>auto</t>
        </is>
      </c>
      <c r="E1397" t="inlineStr">
        <is>
          <t>LOA</t>
        </is>
      </c>
      <c r="F1397" t="inlineStr">
        <is>
          <t>2026-02-23</t>
        </is>
      </c>
      <c r="G1397" s="4" t="n">
        <v>53524.23</v>
      </c>
      <c r="H1397" s="4">
        <f>MAX(0,G1397-SUMIFS('Paiements contrat'!$B:$B,'Paiements contrat'!$A:$A,A1397))</f>
        <v/>
      </c>
      <c r="I1397" s="4" t="n">
        <v>51417.37</v>
      </c>
      <c r="J1397" t="inlineStr">
        <is>
          <t>actif</t>
        </is>
      </c>
    </row>
    <row r="1398">
      <c r="A1398" t="inlineStr">
        <is>
          <t>CTR-01425</t>
        </is>
      </c>
      <c r="B1398" t="inlineStr">
        <is>
          <t>CLI-01221</t>
        </is>
      </c>
      <c r="C1398" t="inlineStr">
        <is>
          <t>Guyane</t>
        </is>
      </c>
      <c r="D1398" t="inlineStr">
        <is>
          <t>materiel</t>
        </is>
      </c>
      <c r="E1398" t="inlineStr">
        <is>
          <t>crédit-bail</t>
        </is>
      </c>
      <c r="F1398" t="inlineStr">
        <is>
          <t>2025-05-19</t>
        </is>
      </c>
      <c r="G1398" s="4" t="n">
        <v>82002.3</v>
      </c>
      <c r="H1398" s="4">
        <f>MAX(0,G1398-SUMIFS('Paiements contrat'!$B:$B,'Paiements contrat'!$A:$A,A1398))</f>
        <v/>
      </c>
      <c r="I1398" s="4" t="n">
        <v>37488.11</v>
      </c>
      <c r="J1398" t="inlineStr">
        <is>
          <t>actif</t>
        </is>
      </c>
    </row>
    <row r="1399">
      <c r="A1399" t="inlineStr">
        <is>
          <t>CTR-01426</t>
        </is>
      </c>
      <c r="B1399" t="inlineStr">
        <is>
          <t>CLI-00839</t>
        </is>
      </c>
      <c r="C1399" t="inlineStr">
        <is>
          <t>Île-de-France</t>
        </is>
      </c>
      <c r="D1399" t="inlineStr">
        <is>
          <t>auto</t>
        </is>
      </c>
      <c r="E1399" t="inlineStr">
        <is>
          <t>LOA</t>
        </is>
      </c>
      <c r="F1399" t="inlineStr">
        <is>
          <t>2026-03-25</t>
        </is>
      </c>
      <c r="G1399" s="4" t="n">
        <v>21346.39</v>
      </c>
      <c r="H1399" s="4">
        <f>MAX(0,G1399-SUMIFS('Paiements contrat'!$B:$B,'Paiements contrat'!$A:$A,A1399))</f>
        <v/>
      </c>
      <c r="I1399" s="4" t="n">
        <v>21346.39</v>
      </c>
      <c r="J1399" t="inlineStr">
        <is>
          <t>actif</t>
        </is>
      </c>
    </row>
    <row r="1400">
      <c r="A1400" t="inlineStr">
        <is>
          <t>CTR-01427</t>
        </is>
      </c>
      <c r="B1400" t="inlineStr">
        <is>
          <t>CLI-01289</t>
        </is>
      </c>
      <c r="C1400" t="inlineStr">
        <is>
          <t>Île-de-France</t>
        </is>
      </c>
      <c r="D1400" t="inlineStr">
        <is>
          <t>auto</t>
        </is>
      </c>
      <c r="E1400" t="inlineStr">
        <is>
          <t>LOA</t>
        </is>
      </c>
      <c r="F1400" t="inlineStr">
        <is>
          <t>2024-11-26</t>
        </is>
      </c>
      <c r="G1400" s="4" t="n">
        <v>36954.81</v>
      </c>
      <c r="H1400" s="4">
        <f>MAX(0,G1400-SUMIFS('Paiements contrat'!$B:$B,'Paiements contrat'!$A:$A,A1400))</f>
        <v/>
      </c>
      <c r="I1400" s="4" t="n">
        <v>16057.59</v>
      </c>
      <c r="J1400" t="inlineStr">
        <is>
          <t>actif</t>
        </is>
      </c>
    </row>
    <row r="1401">
      <c r="A1401" t="inlineStr">
        <is>
          <t>CTR-01428</t>
        </is>
      </c>
      <c r="B1401" t="inlineStr">
        <is>
          <t>CLI-01048</t>
        </is>
      </c>
      <c r="C1401" t="inlineStr">
        <is>
          <t>Martinique</t>
        </is>
      </c>
      <c r="D1401" t="inlineStr">
        <is>
          <t>auto</t>
        </is>
      </c>
      <c r="E1401" t="inlineStr">
        <is>
          <t>LOA</t>
        </is>
      </c>
      <c r="F1401" t="inlineStr">
        <is>
          <t>2025-06-14</t>
        </is>
      </c>
      <c r="G1401" s="4" t="n">
        <v>48434.21</v>
      </c>
      <c r="H1401" s="4">
        <f>MAX(0,G1401-SUMIFS('Paiements contrat'!$B:$B,'Paiements contrat'!$A:$A,A1401))</f>
        <v/>
      </c>
      <c r="I1401" s="4" t="n">
        <v>42270.09</v>
      </c>
      <c r="J1401" t="inlineStr">
        <is>
          <t>actif</t>
        </is>
      </c>
    </row>
    <row r="1402">
      <c r="A1402" t="inlineStr">
        <is>
          <t>CTR-01429</t>
        </is>
      </c>
      <c r="B1402" t="inlineStr">
        <is>
          <t>CLI-00931</t>
        </is>
      </c>
      <c r="C1402" t="inlineStr">
        <is>
          <t>Île-de-France</t>
        </is>
      </c>
      <c r="D1402" t="inlineStr">
        <is>
          <t>auto</t>
        </is>
      </c>
      <c r="E1402" t="inlineStr">
        <is>
          <t>LLD</t>
        </is>
      </c>
      <c r="F1402" t="inlineStr">
        <is>
          <t>2026-02-08</t>
        </is>
      </c>
      <c r="G1402" s="4" t="n">
        <v>64999.01</v>
      </c>
      <c r="H1402" s="4">
        <f>MAX(0,G1402-SUMIFS('Paiements contrat'!$B:$B,'Paiements contrat'!$A:$A,A1402))</f>
        <v/>
      </c>
      <c r="I1402" s="4" t="n">
        <v>64052.1</v>
      </c>
      <c r="J1402" t="inlineStr">
        <is>
          <t>actif</t>
        </is>
      </c>
    </row>
    <row r="1403">
      <c r="A1403" t="inlineStr">
        <is>
          <t>CTR-01430</t>
        </is>
      </c>
      <c r="B1403" t="inlineStr">
        <is>
          <t>CLI-00927</t>
        </is>
      </c>
      <c r="C1403" t="inlineStr">
        <is>
          <t>Île-de-France</t>
        </is>
      </c>
      <c r="D1403" t="inlineStr">
        <is>
          <t>auto</t>
        </is>
      </c>
      <c r="E1403" t="inlineStr">
        <is>
          <t>LOA</t>
        </is>
      </c>
      <c r="F1403" t="inlineStr">
        <is>
          <t>2024-10-17</t>
        </is>
      </c>
      <c r="G1403" s="4" t="n">
        <v>61206.83</v>
      </c>
      <c r="H1403" s="4">
        <f>MAX(0,G1403-SUMIFS('Paiements contrat'!$B:$B,'Paiements contrat'!$A:$A,A1403))</f>
        <v/>
      </c>
      <c r="I1403" s="4" t="n">
        <v>42472.72</v>
      </c>
      <c r="J1403" t="inlineStr">
        <is>
          <t>actif</t>
        </is>
      </c>
    </row>
    <row r="1404">
      <c r="A1404" t="inlineStr">
        <is>
          <t>CTR-01431</t>
        </is>
      </c>
      <c r="B1404" t="inlineStr">
        <is>
          <t>CLI-00130</t>
        </is>
      </c>
      <c r="C1404" t="inlineStr">
        <is>
          <t>Guadeloupe</t>
        </is>
      </c>
      <c r="D1404" t="inlineStr">
        <is>
          <t>auto</t>
        </is>
      </c>
      <c r="E1404" t="inlineStr">
        <is>
          <t>LLD</t>
        </is>
      </c>
      <c r="F1404" t="inlineStr">
        <is>
          <t>2024-06-07</t>
        </is>
      </c>
      <c r="G1404" s="4" t="n">
        <v>65523.45</v>
      </c>
      <c r="H1404" s="4">
        <f>MAX(0,G1404-SUMIFS('Paiements contrat'!$B:$B,'Paiements contrat'!$A:$A,A1404))</f>
        <v/>
      </c>
      <c r="I1404" s="4" t="n">
        <v>2768.722550151011</v>
      </c>
      <c r="J1404" t="inlineStr">
        <is>
          <t>soldé</t>
        </is>
      </c>
    </row>
    <row r="1405">
      <c r="A1405" t="inlineStr">
        <is>
          <t>CTR-01432</t>
        </is>
      </c>
      <c r="B1405" t="inlineStr">
        <is>
          <t>CLI-01406</t>
        </is>
      </c>
      <c r="C1405" t="inlineStr">
        <is>
          <t>Île-de-France</t>
        </is>
      </c>
      <c r="D1405" t="inlineStr">
        <is>
          <t>auto</t>
        </is>
      </c>
      <c r="E1405" t="inlineStr">
        <is>
          <t>LOA</t>
        </is>
      </c>
      <c r="F1405" t="inlineStr">
        <is>
          <t>2026-03-21</t>
        </is>
      </c>
      <c r="G1405" s="4" t="n">
        <v>50206.22</v>
      </c>
      <c r="H1405" s="4">
        <f>MAX(0,G1405-SUMIFS('Paiements contrat'!$B:$B,'Paiements contrat'!$A:$A,A1405))</f>
        <v/>
      </c>
      <c r="I1405" s="4" t="n">
        <v>50206.22</v>
      </c>
      <c r="J1405" t="inlineStr">
        <is>
          <t>actif</t>
        </is>
      </c>
    </row>
    <row r="1406">
      <c r="A1406" t="inlineStr">
        <is>
          <t>CTR-01433</t>
        </is>
      </c>
      <c r="B1406" t="inlineStr">
        <is>
          <t>CLI-01207</t>
        </is>
      </c>
      <c r="C1406" t="inlineStr">
        <is>
          <t>Martinique</t>
        </is>
      </c>
      <c r="D1406" t="inlineStr">
        <is>
          <t>auto</t>
        </is>
      </c>
      <c r="E1406" t="inlineStr">
        <is>
          <t>LOA</t>
        </is>
      </c>
      <c r="F1406" t="inlineStr">
        <is>
          <t>2026-01-11</t>
        </is>
      </c>
      <c r="G1406" s="4" t="n">
        <v>79379.55</v>
      </c>
      <c r="H1406" s="4">
        <f>MAX(0,G1406-SUMIFS('Paiements contrat'!$B:$B,'Paiements contrat'!$A:$A,A1406))</f>
        <v/>
      </c>
      <c r="I1406" s="4" t="n">
        <v>66504.43000000001</v>
      </c>
      <c r="J1406" t="inlineStr">
        <is>
          <t>actif</t>
        </is>
      </c>
    </row>
    <row r="1407">
      <c r="A1407" t="inlineStr">
        <is>
          <t>CTR-01434</t>
        </is>
      </c>
      <c r="B1407" t="inlineStr">
        <is>
          <t>CLI-00687</t>
        </is>
      </c>
      <c r="C1407" t="inlineStr">
        <is>
          <t>Île-de-France</t>
        </is>
      </c>
      <c r="D1407" t="inlineStr">
        <is>
          <t>bateau</t>
        </is>
      </c>
      <c r="E1407" t="inlineStr">
        <is>
          <t>LOA</t>
        </is>
      </c>
      <c r="F1407" t="inlineStr">
        <is>
          <t>2025-03-12</t>
        </is>
      </c>
      <c r="G1407" s="4" t="n">
        <v>105658.91</v>
      </c>
      <c r="H1407" s="4">
        <f>MAX(0,G1407-SUMIFS('Paiements contrat'!$B:$B,'Paiements contrat'!$A:$A,A1407))</f>
        <v/>
      </c>
      <c r="I1407" s="4" t="n">
        <v>17400.26000000001</v>
      </c>
      <c r="J1407" t="inlineStr">
        <is>
          <t>soldé</t>
        </is>
      </c>
    </row>
    <row r="1408">
      <c r="A1408" t="inlineStr">
        <is>
          <t>CTR-01435</t>
        </is>
      </c>
      <c r="B1408" t="inlineStr">
        <is>
          <t>CLI-01038</t>
        </is>
      </c>
      <c r="C1408" t="inlineStr">
        <is>
          <t>Guadeloupe</t>
        </is>
      </c>
      <c r="D1408" t="inlineStr">
        <is>
          <t>auto</t>
        </is>
      </c>
      <c r="E1408" t="inlineStr">
        <is>
          <t>LLD</t>
        </is>
      </c>
      <c r="F1408" t="inlineStr">
        <is>
          <t>2025-11-21</t>
        </is>
      </c>
      <c r="G1408" s="4" t="n">
        <v>19788.74</v>
      </c>
      <c r="H1408" s="4">
        <f>MAX(0,G1408-SUMIFS('Paiements contrat'!$B:$B,'Paiements contrat'!$A:$A,A1408))</f>
        <v/>
      </c>
      <c r="I1408" s="4" t="n">
        <v>17064.17994093186</v>
      </c>
      <c r="J1408" t="inlineStr">
        <is>
          <t>contentieux</t>
        </is>
      </c>
    </row>
    <row r="1409">
      <c r="A1409" t="inlineStr">
        <is>
          <t>CTR-01436</t>
        </is>
      </c>
      <c r="B1409" t="inlineStr">
        <is>
          <t>CLI-00517</t>
        </is>
      </c>
      <c r="C1409" t="inlineStr">
        <is>
          <t>Île-de-France</t>
        </is>
      </c>
      <c r="D1409" t="inlineStr">
        <is>
          <t>auto</t>
        </is>
      </c>
      <c r="E1409" t="inlineStr">
        <is>
          <t>LOA</t>
        </is>
      </c>
      <c r="F1409" t="inlineStr">
        <is>
          <t>2024-10-16</t>
        </is>
      </c>
      <c r="G1409" s="4" t="n">
        <v>72593.39</v>
      </c>
      <c r="H1409" s="4">
        <f>MAX(0,G1409-SUMIFS('Paiements contrat'!$B:$B,'Paiements contrat'!$A:$A,A1409))</f>
        <v/>
      </c>
      <c r="I1409" s="4" t="n">
        <v>35657.25</v>
      </c>
      <c r="J1409" t="inlineStr">
        <is>
          <t>actif</t>
        </is>
      </c>
    </row>
    <row r="1410">
      <c r="A1410" t="inlineStr">
        <is>
          <t>CTR-01437</t>
        </is>
      </c>
      <c r="B1410" t="inlineStr">
        <is>
          <t>CLI-00514</t>
        </is>
      </c>
      <c r="C1410" t="inlineStr">
        <is>
          <t>Île-de-France</t>
        </is>
      </c>
      <c r="D1410" t="inlineStr">
        <is>
          <t>materiel</t>
        </is>
      </c>
      <c r="E1410" t="inlineStr">
        <is>
          <t>crédit-bail</t>
        </is>
      </c>
      <c r="F1410" t="inlineStr">
        <is>
          <t>2025-06-14</t>
        </is>
      </c>
      <c r="G1410" s="4" t="n">
        <v>79725.52</v>
      </c>
      <c r="H1410" s="4">
        <f>MAX(0,G1410-SUMIFS('Paiements contrat'!$B:$B,'Paiements contrat'!$A:$A,A1410))</f>
        <v/>
      </c>
      <c r="I1410" s="4" t="n">
        <v>57031.3</v>
      </c>
      <c r="J1410" t="inlineStr">
        <is>
          <t>actif</t>
        </is>
      </c>
    </row>
    <row r="1411">
      <c r="A1411" t="inlineStr">
        <is>
          <t>CTR-01438</t>
        </is>
      </c>
      <c r="B1411" t="inlineStr">
        <is>
          <t>CLI-00496</t>
        </is>
      </c>
      <c r="C1411" t="inlineStr">
        <is>
          <t>Martinique</t>
        </is>
      </c>
      <c r="D1411" t="inlineStr">
        <is>
          <t>auto</t>
        </is>
      </c>
      <c r="E1411" t="inlineStr">
        <is>
          <t>LOA</t>
        </is>
      </c>
      <c r="F1411" t="inlineStr">
        <is>
          <t>2026-02-02</t>
        </is>
      </c>
      <c r="G1411" s="4" t="n">
        <v>48316.06</v>
      </c>
      <c r="H1411" s="4">
        <f>MAX(0,G1411-SUMIFS('Paiements contrat'!$B:$B,'Paiements contrat'!$A:$A,A1411))</f>
        <v/>
      </c>
      <c r="I1411" s="4" t="n">
        <v>47067.57</v>
      </c>
      <c r="J1411" t="inlineStr">
        <is>
          <t>actif</t>
        </is>
      </c>
    </row>
    <row r="1412">
      <c r="A1412" t="inlineStr">
        <is>
          <t>CTR-01439</t>
        </is>
      </c>
      <c r="B1412" t="inlineStr">
        <is>
          <t>CLI-00872</t>
        </is>
      </c>
      <c r="C1412" t="inlineStr">
        <is>
          <t>Île-de-France</t>
        </is>
      </c>
      <c r="D1412" t="inlineStr">
        <is>
          <t>auto</t>
        </is>
      </c>
      <c r="E1412" t="inlineStr">
        <is>
          <t>LOA</t>
        </is>
      </c>
      <c r="F1412" t="inlineStr">
        <is>
          <t>2025-09-01</t>
        </is>
      </c>
      <c r="G1412" s="4" t="n">
        <v>47252.92</v>
      </c>
      <c r="H1412" s="4">
        <f>MAX(0,G1412-SUMIFS('Paiements contrat'!$B:$B,'Paiements contrat'!$A:$A,A1412))</f>
        <v/>
      </c>
      <c r="I1412" s="4" t="n">
        <v>39883.35</v>
      </c>
      <c r="J1412" t="inlineStr">
        <is>
          <t>actif</t>
        </is>
      </c>
    </row>
    <row r="1413">
      <c r="A1413" t="inlineStr">
        <is>
          <t>CTR-01440</t>
        </is>
      </c>
      <c r="B1413" t="inlineStr">
        <is>
          <t>CLI-01142</t>
        </is>
      </c>
      <c r="C1413" t="inlineStr">
        <is>
          <t>Martinique</t>
        </is>
      </c>
      <c r="D1413" t="inlineStr">
        <is>
          <t>auto</t>
        </is>
      </c>
      <c r="E1413" t="inlineStr">
        <is>
          <t>LOA</t>
        </is>
      </c>
      <c r="F1413" t="inlineStr">
        <is>
          <t>2024-08-10</t>
        </is>
      </c>
      <c r="G1413" s="4" t="n">
        <v>71561.87</v>
      </c>
      <c r="H1413" s="4">
        <f>MAX(0,G1413-SUMIFS('Paiements contrat'!$B:$B,'Paiements contrat'!$A:$A,A1413))</f>
        <v/>
      </c>
      <c r="I1413" s="4" t="n">
        <v>21275.55</v>
      </c>
      <c r="J1413" t="inlineStr">
        <is>
          <t>actif</t>
        </is>
      </c>
    </row>
    <row r="1414">
      <c r="A1414" t="inlineStr">
        <is>
          <t>CTR-01441</t>
        </is>
      </c>
      <c r="B1414" t="inlineStr">
        <is>
          <t>CLI-00679</t>
        </is>
      </c>
      <c r="C1414" t="inlineStr">
        <is>
          <t>Guadeloupe</t>
        </is>
      </c>
      <c r="D1414" t="inlineStr">
        <is>
          <t>auto</t>
        </is>
      </c>
      <c r="E1414" t="inlineStr">
        <is>
          <t>LLD</t>
        </is>
      </c>
      <c r="F1414" t="inlineStr">
        <is>
          <t>2024-09-20</t>
        </is>
      </c>
      <c r="G1414" s="4" t="n">
        <v>57742.45</v>
      </c>
      <c r="H1414" s="4">
        <f>MAX(0,G1414-SUMIFS('Paiements contrat'!$B:$B,'Paiements contrat'!$A:$A,A1414))</f>
        <v/>
      </c>
      <c r="I1414" s="4" t="n">
        <v>26916.97107831686</v>
      </c>
      <c r="J1414" t="inlineStr">
        <is>
          <t>actif</t>
        </is>
      </c>
    </row>
    <row r="1415">
      <c r="A1415" t="inlineStr">
        <is>
          <t>CTR-01442</t>
        </is>
      </c>
      <c r="B1415" t="inlineStr">
        <is>
          <t>CLI-00538</t>
        </is>
      </c>
      <c r="C1415" t="inlineStr">
        <is>
          <t>Île-de-France</t>
        </is>
      </c>
      <c r="D1415" t="inlineStr">
        <is>
          <t>materiel</t>
        </is>
      </c>
      <c r="E1415" t="inlineStr">
        <is>
          <t>crédit-bail</t>
        </is>
      </c>
      <c r="F1415" t="inlineStr">
        <is>
          <t>2024-11-06</t>
        </is>
      </c>
      <c r="G1415" s="4" t="n">
        <v>134050.36</v>
      </c>
      <c r="H1415" s="4">
        <f>MAX(0,G1415-SUMIFS('Paiements contrat'!$B:$B,'Paiements contrat'!$A:$A,A1415))</f>
        <v/>
      </c>
      <c r="I1415" s="4" t="n">
        <v>76118.62999999999</v>
      </c>
      <c r="J1415" t="inlineStr">
        <is>
          <t>actif</t>
        </is>
      </c>
    </row>
    <row r="1416">
      <c r="A1416" t="inlineStr">
        <is>
          <t>CTR-01443</t>
        </is>
      </c>
      <c r="B1416" t="inlineStr">
        <is>
          <t>CLI-01144</t>
        </is>
      </c>
      <c r="C1416" t="inlineStr">
        <is>
          <t>Île-de-France</t>
        </is>
      </c>
      <c r="D1416" t="inlineStr">
        <is>
          <t>auto</t>
        </is>
      </c>
      <c r="E1416" t="inlineStr">
        <is>
          <t>LLD</t>
        </is>
      </c>
      <c r="F1416" t="inlineStr">
        <is>
          <t>2025-03-10</t>
        </is>
      </c>
      <c r="G1416" s="4" t="n">
        <v>68391.95</v>
      </c>
      <c r="H1416" s="4">
        <f>MAX(0,G1416-SUMIFS('Paiements contrat'!$B:$B,'Paiements contrat'!$A:$A,A1416))</f>
        <v/>
      </c>
      <c r="I1416" s="4" t="n">
        <v>53214.61</v>
      </c>
      <c r="J1416" t="inlineStr">
        <is>
          <t>actif</t>
        </is>
      </c>
    </row>
    <row r="1417">
      <c r="A1417" t="inlineStr">
        <is>
          <t>CTR-01444</t>
        </is>
      </c>
      <c r="B1417" t="inlineStr">
        <is>
          <t>CLI-00216</t>
        </is>
      </c>
      <c r="C1417" t="inlineStr">
        <is>
          <t>Île-de-France</t>
        </is>
      </c>
      <c r="D1417" t="inlineStr">
        <is>
          <t>materiel</t>
        </is>
      </c>
      <c r="E1417" t="inlineStr">
        <is>
          <t>crédit-bail</t>
        </is>
      </c>
      <c r="F1417" t="inlineStr">
        <is>
          <t>2026-03-08</t>
        </is>
      </c>
      <c r="G1417" s="4" t="n">
        <v>128243.38</v>
      </c>
      <c r="H1417" s="4">
        <f>MAX(0,G1417-SUMIFS('Paiements contrat'!$B:$B,'Paiements contrat'!$A:$A,A1417))</f>
        <v/>
      </c>
      <c r="I1417" s="4" t="n">
        <v>128243.38</v>
      </c>
      <c r="J1417" t="inlineStr">
        <is>
          <t>actif</t>
        </is>
      </c>
    </row>
    <row r="1418">
      <c r="A1418" t="inlineStr">
        <is>
          <t>CTR-01445</t>
        </is>
      </c>
      <c r="B1418" t="inlineStr">
        <is>
          <t>CLI-00078</t>
        </is>
      </c>
      <c r="C1418" t="inlineStr">
        <is>
          <t>Réunion</t>
        </is>
      </c>
      <c r="D1418" t="inlineStr">
        <is>
          <t>auto</t>
        </is>
      </c>
      <c r="E1418" t="inlineStr">
        <is>
          <t>LLD</t>
        </is>
      </c>
      <c r="F1418" t="inlineStr">
        <is>
          <t>2026-02-05</t>
        </is>
      </c>
      <c r="G1418" s="4" t="n">
        <v>23018.63</v>
      </c>
      <c r="H1418" s="4">
        <f>MAX(0,G1418-SUMIFS('Paiements contrat'!$B:$B,'Paiements contrat'!$A:$A,A1418))</f>
        <v/>
      </c>
      <c r="I1418" s="4" t="n">
        <v>23018.63</v>
      </c>
      <c r="J1418" t="inlineStr">
        <is>
          <t>actif</t>
        </is>
      </c>
    </row>
    <row r="1419">
      <c r="A1419" t="inlineStr">
        <is>
          <t>CTR-01446</t>
        </is>
      </c>
      <c r="B1419" t="inlineStr">
        <is>
          <t>CLI-00271</t>
        </is>
      </c>
      <c r="C1419" t="inlineStr">
        <is>
          <t>Île-de-France</t>
        </is>
      </c>
      <c r="D1419" t="inlineStr">
        <is>
          <t>auto</t>
        </is>
      </c>
      <c r="E1419" t="inlineStr">
        <is>
          <t>LOA</t>
        </is>
      </c>
      <c r="F1419" t="inlineStr">
        <is>
          <t>2026-03-01</t>
        </is>
      </c>
      <c r="G1419" s="4" t="n">
        <v>24000.82</v>
      </c>
      <c r="H1419" s="4">
        <f>MAX(0,G1419-SUMIFS('Paiements contrat'!$B:$B,'Paiements contrat'!$A:$A,A1419))</f>
        <v/>
      </c>
      <c r="I1419" s="4" t="n">
        <v>24000.82</v>
      </c>
      <c r="J1419" t="inlineStr">
        <is>
          <t>actif</t>
        </is>
      </c>
    </row>
    <row r="1420">
      <c r="A1420" t="inlineStr">
        <is>
          <t>CTR-01447</t>
        </is>
      </c>
      <c r="B1420" t="inlineStr">
        <is>
          <t>CLI-00266</t>
        </is>
      </c>
      <c r="C1420" t="inlineStr">
        <is>
          <t>Île-de-France</t>
        </is>
      </c>
      <c r="D1420" t="inlineStr">
        <is>
          <t>materiel</t>
        </is>
      </c>
      <c r="E1420" t="inlineStr">
        <is>
          <t>crédit-bail</t>
        </is>
      </c>
      <c r="F1420" t="inlineStr">
        <is>
          <t>2024-05-27</t>
        </is>
      </c>
      <c r="G1420" s="4" t="n">
        <v>148824.51</v>
      </c>
      <c r="H1420" s="4">
        <f>MAX(0,G1420-SUMIFS('Paiements contrat'!$B:$B,'Paiements contrat'!$A:$A,A1420))</f>
        <v/>
      </c>
      <c r="I1420" s="4" t="n">
        <v>85781.55000000002</v>
      </c>
      <c r="J1420" t="inlineStr">
        <is>
          <t>actif</t>
        </is>
      </c>
    </row>
    <row r="1421">
      <c r="A1421" t="inlineStr">
        <is>
          <t>CTR-01448</t>
        </is>
      </c>
      <c r="B1421" t="inlineStr">
        <is>
          <t>CLI-00515</t>
        </is>
      </c>
      <c r="C1421" t="inlineStr">
        <is>
          <t>Martinique</t>
        </is>
      </c>
      <c r="D1421" t="inlineStr">
        <is>
          <t>auto</t>
        </is>
      </c>
      <c r="E1421" t="inlineStr">
        <is>
          <t>LOA</t>
        </is>
      </c>
      <c r="F1421" t="inlineStr">
        <is>
          <t>2025-03-01</t>
        </is>
      </c>
      <c r="G1421" s="4" t="n">
        <v>69450.07000000001</v>
      </c>
      <c r="H1421" s="4">
        <f>MAX(0,G1421-SUMIFS('Paiements contrat'!$B:$B,'Paiements contrat'!$A:$A,A1421))</f>
        <v/>
      </c>
      <c r="I1421" s="4" t="n">
        <v>48445.64611220176</v>
      </c>
      <c r="J1421" t="inlineStr">
        <is>
          <t>actif</t>
        </is>
      </c>
    </row>
    <row r="1422">
      <c r="A1422" t="inlineStr">
        <is>
          <t>CTR-01449</t>
        </is>
      </c>
      <c r="B1422" t="inlineStr">
        <is>
          <t>CLI-01440</t>
        </is>
      </c>
      <c r="C1422" t="inlineStr">
        <is>
          <t>Guadeloupe</t>
        </is>
      </c>
      <c r="D1422" t="inlineStr">
        <is>
          <t>auto</t>
        </is>
      </c>
      <c r="E1422" t="inlineStr">
        <is>
          <t>LLD</t>
        </is>
      </c>
      <c r="F1422" t="inlineStr">
        <is>
          <t>2024-12-26</t>
        </is>
      </c>
      <c r="G1422" s="4" t="n">
        <v>34272.29</v>
      </c>
      <c r="H1422" s="4">
        <f>MAX(0,G1422-SUMIFS('Paiements contrat'!$B:$B,'Paiements contrat'!$A:$A,A1422))</f>
        <v/>
      </c>
      <c r="I1422" s="4" t="n">
        <v>15077.18252050423</v>
      </c>
      <c r="J1422" t="inlineStr">
        <is>
          <t>contentieux</t>
        </is>
      </c>
    </row>
    <row r="1423">
      <c r="A1423" t="inlineStr">
        <is>
          <t>CTR-01450</t>
        </is>
      </c>
      <c r="B1423" t="inlineStr">
        <is>
          <t>CLI-00613</t>
        </is>
      </c>
      <c r="C1423" t="inlineStr">
        <is>
          <t>Réunion</t>
        </is>
      </c>
      <c r="D1423" t="inlineStr">
        <is>
          <t>materiel</t>
        </is>
      </c>
      <c r="E1423" t="inlineStr">
        <is>
          <t>crédit-bail</t>
        </is>
      </c>
      <c r="F1423" t="inlineStr">
        <is>
          <t>2024-04-20</t>
        </is>
      </c>
      <c r="G1423" s="4" t="n">
        <v>57684.87</v>
      </c>
      <c r="H1423" s="4">
        <f>MAX(0,G1423-SUMIFS('Paiements contrat'!$B:$B,'Paiements contrat'!$A:$A,A1423))</f>
        <v/>
      </c>
      <c r="I1423" s="4" t="n">
        <v>25143.63149723156</v>
      </c>
      <c r="J1423" t="inlineStr">
        <is>
          <t>actif</t>
        </is>
      </c>
    </row>
    <row r="1424">
      <c r="A1424" t="inlineStr">
        <is>
          <t>CTR-01451</t>
        </is>
      </c>
      <c r="B1424" t="inlineStr">
        <is>
          <t>CLI-00654</t>
        </is>
      </c>
      <c r="C1424" t="inlineStr">
        <is>
          <t>Réunion</t>
        </is>
      </c>
      <c r="D1424" t="inlineStr">
        <is>
          <t>auto</t>
        </is>
      </c>
      <c r="E1424" t="inlineStr">
        <is>
          <t>LLD</t>
        </is>
      </c>
      <c r="F1424" t="inlineStr">
        <is>
          <t>2025-07-03</t>
        </is>
      </c>
      <c r="G1424" s="4" t="n">
        <v>70137.38</v>
      </c>
      <c r="H1424" s="4">
        <f>MAX(0,G1424-SUMIFS('Paiements contrat'!$B:$B,'Paiements contrat'!$A:$A,A1424))</f>
        <v/>
      </c>
      <c r="I1424" s="4" t="n">
        <v>52947.7</v>
      </c>
      <c r="J1424" t="inlineStr">
        <is>
          <t>actif</t>
        </is>
      </c>
    </row>
    <row r="1425">
      <c r="A1425" t="inlineStr">
        <is>
          <t>CTR-01452</t>
        </is>
      </c>
      <c r="B1425" t="inlineStr">
        <is>
          <t>CLI-00465</t>
        </is>
      </c>
      <c r="C1425" t="inlineStr">
        <is>
          <t>Île-de-France</t>
        </is>
      </c>
      <c r="D1425" t="inlineStr">
        <is>
          <t>materiel</t>
        </is>
      </c>
      <c r="E1425" t="inlineStr">
        <is>
          <t>crédit-bail</t>
        </is>
      </c>
      <c r="F1425" t="inlineStr">
        <is>
          <t>2026-03-04</t>
        </is>
      </c>
      <c r="G1425" s="4" t="n">
        <v>109982.56</v>
      </c>
      <c r="H1425" s="4">
        <f>MAX(0,G1425-SUMIFS('Paiements contrat'!$B:$B,'Paiements contrat'!$A:$A,A1425))</f>
        <v/>
      </c>
      <c r="I1425" s="4" t="n">
        <v>109982.56</v>
      </c>
      <c r="J1425" t="inlineStr">
        <is>
          <t>actif</t>
        </is>
      </c>
    </row>
    <row r="1426">
      <c r="A1426" t="inlineStr">
        <is>
          <t>CTR-01453</t>
        </is>
      </c>
      <c r="B1426" t="inlineStr">
        <is>
          <t>CLI-01104</t>
        </is>
      </c>
      <c r="C1426" t="inlineStr">
        <is>
          <t>Martinique</t>
        </is>
      </c>
      <c r="D1426" t="inlineStr">
        <is>
          <t>materiel</t>
        </is>
      </c>
      <c r="E1426" t="inlineStr">
        <is>
          <t>crédit-bail</t>
        </is>
      </c>
      <c r="F1426" t="inlineStr">
        <is>
          <t>2026-03-14</t>
        </is>
      </c>
      <c r="G1426" s="4" t="n">
        <v>190267.89</v>
      </c>
      <c r="H1426" s="4">
        <f>MAX(0,G1426-SUMIFS('Paiements contrat'!$B:$B,'Paiements contrat'!$A:$A,A1426))</f>
        <v/>
      </c>
      <c r="I1426" s="4" t="n">
        <v>190267.89</v>
      </c>
      <c r="J1426" t="inlineStr">
        <is>
          <t>actif</t>
        </is>
      </c>
    </row>
    <row r="1427">
      <c r="A1427" t="inlineStr">
        <is>
          <t>CTR-01454</t>
        </is>
      </c>
      <c r="B1427" t="inlineStr">
        <is>
          <t>CLI-00144</t>
        </is>
      </c>
      <c r="C1427" t="inlineStr">
        <is>
          <t>Île-de-France</t>
        </is>
      </c>
      <c r="D1427" t="inlineStr">
        <is>
          <t>auto</t>
        </is>
      </c>
      <c r="E1427" t="inlineStr">
        <is>
          <t>LOA</t>
        </is>
      </c>
      <c r="F1427" t="inlineStr">
        <is>
          <t>2025-01-22</t>
        </is>
      </c>
      <c r="G1427" s="4" t="n">
        <v>41036.81</v>
      </c>
      <c r="H1427" s="4">
        <f>MAX(0,G1427-SUMIFS('Paiements contrat'!$B:$B,'Paiements contrat'!$A:$A,A1427))</f>
        <v/>
      </c>
      <c r="I1427" s="4" t="n">
        <v>11728.54</v>
      </c>
      <c r="J1427" t="inlineStr">
        <is>
          <t>actif</t>
        </is>
      </c>
    </row>
    <row r="1428">
      <c r="A1428" t="inlineStr">
        <is>
          <t>CTR-01455</t>
        </is>
      </c>
      <c r="B1428" t="inlineStr">
        <is>
          <t>CLI-00739</t>
        </is>
      </c>
      <c r="C1428" t="inlineStr">
        <is>
          <t>Guadeloupe</t>
        </is>
      </c>
      <c r="D1428" t="inlineStr">
        <is>
          <t>auto</t>
        </is>
      </c>
      <c r="E1428" t="inlineStr">
        <is>
          <t>LOA</t>
        </is>
      </c>
      <c r="F1428" t="inlineStr">
        <is>
          <t>2024-08-21</t>
        </is>
      </c>
      <c r="G1428" s="4" t="n">
        <v>45025.71</v>
      </c>
      <c r="H1428" s="4">
        <f>MAX(0,G1428-SUMIFS('Paiements contrat'!$B:$B,'Paiements contrat'!$A:$A,A1428))</f>
        <v/>
      </c>
      <c r="I1428" s="4" t="n">
        <v>32961.1</v>
      </c>
      <c r="J1428" t="inlineStr">
        <is>
          <t>actif</t>
        </is>
      </c>
    </row>
    <row r="1429">
      <c r="A1429" t="inlineStr">
        <is>
          <t>CTR-01456</t>
        </is>
      </c>
      <c r="B1429" t="inlineStr">
        <is>
          <t>CLI-00555</t>
        </is>
      </c>
      <c r="C1429" t="inlineStr">
        <is>
          <t>Île-de-France</t>
        </is>
      </c>
      <c r="D1429" t="inlineStr">
        <is>
          <t>materiel</t>
        </is>
      </c>
      <c r="E1429" t="inlineStr">
        <is>
          <t>crédit-bail</t>
        </is>
      </c>
      <c r="F1429" t="inlineStr">
        <is>
          <t>2025-09-23</t>
        </is>
      </c>
      <c r="G1429" s="4" t="n">
        <v>146245.95</v>
      </c>
      <c r="H1429" s="4">
        <f>MAX(0,G1429-SUMIFS('Paiements contrat'!$B:$B,'Paiements contrat'!$A:$A,A1429))</f>
        <v/>
      </c>
      <c r="I1429" s="4" t="n">
        <v>123671.51</v>
      </c>
      <c r="J1429" t="inlineStr">
        <is>
          <t>contentieux</t>
        </is>
      </c>
    </row>
    <row r="1430">
      <c r="A1430" t="inlineStr">
        <is>
          <t>CTR-01457</t>
        </is>
      </c>
      <c r="B1430" t="inlineStr">
        <is>
          <t>CLI-01296</t>
        </is>
      </c>
      <c r="C1430" t="inlineStr">
        <is>
          <t>Île-de-France</t>
        </is>
      </c>
      <c r="D1430" t="inlineStr">
        <is>
          <t>auto</t>
        </is>
      </c>
      <c r="E1430" t="inlineStr">
        <is>
          <t>LLD</t>
        </is>
      </c>
      <c r="F1430" t="inlineStr">
        <is>
          <t>2024-04-10</t>
        </is>
      </c>
      <c r="G1430" s="4" t="n">
        <v>55099.11</v>
      </c>
      <c r="H1430" s="4">
        <f>MAX(0,G1430-SUMIFS('Paiements contrat'!$B:$B,'Paiements contrat'!$A:$A,A1430))</f>
        <v/>
      </c>
      <c r="I1430" s="4" t="n">
        <v>33693.33</v>
      </c>
      <c r="J1430" t="inlineStr">
        <is>
          <t>actif</t>
        </is>
      </c>
    </row>
    <row r="1431">
      <c r="A1431" t="inlineStr">
        <is>
          <t>CTR-01458</t>
        </is>
      </c>
      <c r="B1431" t="inlineStr">
        <is>
          <t>CLI-01020</t>
        </is>
      </c>
      <c r="C1431" t="inlineStr">
        <is>
          <t>Île-de-France</t>
        </is>
      </c>
      <c r="D1431" t="inlineStr">
        <is>
          <t>auto</t>
        </is>
      </c>
      <c r="E1431" t="inlineStr">
        <is>
          <t>LOA</t>
        </is>
      </c>
      <c r="F1431" t="inlineStr">
        <is>
          <t>2025-08-27</t>
        </is>
      </c>
      <c r="G1431" s="4" t="n">
        <v>34258.76</v>
      </c>
      <c r="H1431" s="4">
        <f>MAX(0,G1431-SUMIFS('Paiements contrat'!$B:$B,'Paiements contrat'!$A:$A,A1431))</f>
        <v/>
      </c>
      <c r="I1431" s="4" t="n">
        <v>24466.27</v>
      </c>
      <c r="J1431" t="inlineStr">
        <is>
          <t>actif</t>
        </is>
      </c>
    </row>
    <row r="1432">
      <c r="A1432" t="inlineStr">
        <is>
          <t>CTR-01459</t>
        </is>
      </c>
      <c r="B1432" t="inlineStr">
        <is>
          <t>CLI-00412</t>
        </is>
      </c>
      <c r="C1432" t="inlineStr">
        <is>
          <t>Île-de-France</t>
        </is>
      </c>
      <c r="D1432" t="inlineStr">
        <is>
          <t>auto</t>
        </is>
      </c>
      <c r="E1432" t="inlineStr">
        <is>
          <t>LLD</t>
        </is>
      </c>
      <c r="F1432" t="inlineStr">
        <is>
          <t>2025-09-26</t>
        </is>
      </c>
      <c r="G1432" s="4" t="n">
        <v>48640.87</v>
      </c>
      <c r="H1432" s="4">
        <f>MAX(0,G1432-SUMIFS('Paiements contrat'!$B:$B,'Paiements contrat'!$A:$A,A1432))</f>
        <v/>
      </c>
      <c r="I1432" s="4" t="n">
        <v>42872.60000000001</v>
      </c>
      <c r="J1432" t="inlineStr">
        <is>
          <t>actif</t>
        </is>
      </c>
    </row>
    <row r="1433">
      <c r="A1433" t="inlineStr">
        <is>
          <t>CTR-01460</t>
        </is>
      </c>
      <c r="B1433" t="inlineStr">
        <is>
          <t>CLI-01434</t>
        </is>
      </c>
      <c r="C1433" t="inlineStr">
        <is>
          <t>Île-de-France</t>
        </is>
      </c>
      <c r="D1433" t="inlineStr">
        <is>
          <t>auto</t>
        </is>
      </c>
      <c r="E1433" t="inlineStr">
        <is>
          <t>LOA</t>
        </is>
      </c>
      <c r="F1433" t="inlineStr">
        <is>
          <t>2024-09-13</t>
        </is>
      </c>
      <c r="G1433" s="4" t="n">
        <v>60617.73</v>
      </c>
      <c r="H1433" s="4">
        <f>MAX(0,G1433-SUMIFS('Paiements contrat'!$B:$B,'Paiements contrat'!$A:$A,A1433))</f>
        <v/>
      </c>
      <c r="I1433" s="4" t="n">
        <v>40626.89</v>
      </c>
      <c r="J1433" t="inlineStr">
        <is>
          <t>actif</t>
        </is>
      </c>
    </row>
    <row r="1434">
      <c r="A1434" t="inlineStr">
        <is>
          <t>CTR-01461</t>
        </is>
      </c>
      <c r="B1434" t="inlineStr">
        <is>
          <t>CLI-01185</t>
        </is>
      </c>
      <c r="C1434" t="inlineStr">
        <is>
          <t>Guyane</t>
        </is>
      </c>
      <c r="D1434" t="inlineStr">
        <is>
          <t>auto</t>
        </is>
      </c>
      <c r="E1434" t="inlineStr">
        <is>
          <t>LLD</t>
        </is>
      </c>
      <c r="F1434" t="inlineStr">
        <is>
          <t>2024-04-21</t>
        </is>
      </c>
      <c r="G1434" s="4" t="n">
        <v>40525.03</v>
      </c>
      <c r="H1434" s="4">
        <f>MAX(0,G1434-SUMIFS('Paiements contrat'!$B:$B,'Paiements contrat'!$A:$A,A1434))</f>
        <v/>
      </c>
      <c r="I1434" s="4" t="n">
        <v>27741.76</v>
      </c>
      <c r="J1434" t="inlineStr">
        <is>
          <t>actif</t>
        </is>
      </c>
    </row>
    <row r="1435">
      <c r="A1435" t="inlineStr">
        <is>
          <t>CTR-01462</t>
        </is>
      </c>
      <c r="B1435" t="inlineStr">
        <is>
          <t>CLI-01430</t>
        </is>
      </c>
      <c r="C1435" t="inlineStr">
        <is>
          <t>Guadeloupe</t>
        </is>
      </c>
      <c r="D1435" t="inlineStr">
        <is>
          <t>materiel</t>
        </is>
      </c>
      <c r="E1435" t="inlineStr">
        <is>
          <t>crédit-bail</t>
        </is>
      </c>
      <c r="F1435" t="inlineStr">
        <is>
          <t>2024-12-06</t>
        </is>
      </c>
      <c r="G1435" s="4" t="n">
        <v>53024.99</v>
      </c>
      <c r="H1435" s="4">
        <f>MAX(0,G1435-SUMIFS('Paiements contrat'!$B:$B,'Paiements contrat'!$A:$A,A1435))</f>
        <v/>
      </c>
      <c r="I1435" s="4" t="n">
        <v>32922.50999999999</v>
      </c>
      <c r="J1435" t="inlineStr">
        <is>
          <t>actif</t>
        </is>
      </c>
    </row>
    <row r="1436">
      <c r="A1436" t="inlineStr">
        <is>
          <t>CTR-01463</t>
        </is>
      </c>
      <c r="B1436" t="inlineStr">
        <is>
          <t>CLI-00092</t>
        </is>
      </c>
      <c r="C1436" t="inlineStr">
        <is>
          <t>Martinique</t>
        </is>
      </c>
      <c r="D1436" t="inlineStr">
        <is>
          <t>auto</t>
        </is>
      </c>
      <c r="E1436" t="inlineStr">
        <is>
          <t>LLD</t>
        </is>
      </c>
      <c r="F1436" t="inlineStr">
        <is>
          <t>2024-12-13</t>
        </is>
      </c>
      <c r="G1436" s="4" t="n">
        <v>44555.98</v>
      </c>
      <c r="H1436" s="4">
        <f>MAX(0,G1436-SUMIFS('Paiements contrat'!$B:$B,'Paiements contrat'!$A:$A,A1436))</f>
        <v/>
      </c>
      <c r="I1436" s="4" t="n">
        <v>36012.11977438183</v>
      </c>
      <c r="J1436" t="inlineStr">
        <is>
          <t>actif</t>
        </is>
      </c>
    </row>
    <row r="1437">
      <c r="A1437" t="inlineStr">
        <is>
          <t>CTR-01464</t>
        </is>
      </c>
      <c r="B1437" t="inlineStr">
        <is>
          <t>CLI-01322</t>
        </is>
      </c>
      <c r="C1437" t="inlineStr">
        <is>
          <t>Île-de-France</t>
        </is>
      </c>
      <c r="D1437" t="inlineStr">
        <is>
          <t>auto</t>
        </is>
      </c>
      <c r="E1437" t="inlineStr">
        <is>
          <t>LOA</t>
        </is>
      </c>
      <c r="F1437" t="inlineStr">
        <is>
          <t>2024-11-06</t>
        </is>
      </c>
      <c r="G1437" s="4" t="n">
        <v>56922.33</v>
      </c>
      <c r="H1437" s="4">
        <f>MAX(0,G1437-SUMIFS('Paiements contrat'!$B:$B,'Paiements contrat'!$A:$A,A1437))</f>
        <v/>
      </c>
      <c r="I1437" s="4" t="n">
        <v>23950.82</v>
      </c>
      <c r="J1437" t="inlineStr">
        <is>
          <t>actif</t>
        </is>
      </c>
    </row>
    <row r="1438">
      <c r="A1438" t="inlineStr">
        <is>
          <t>CTR-01466</t>
        </is>
      </c>
      <c r="B1438" t="inlineStr">
        <is>
          <t>CLI-00716</t>
        </is>
      </c>
      <c r="C1438" t="inlineStr">
        <is>
          <t>Île-de-France</t>
        </is>
      </c>
      <c r="D1438" t="inlineStr">
        <is>
          <t>auto</t>
        </is>
      </c>
      <c r="E1438" t="inlineStr">
        <is>
          <t>LLD</t>
        </is>
      </c>
      <c r="F1438" t="inlineStr">
        <is>
          <t>2025-02-19</t>
        </is>
      </c>
      <c r="G1438" s="4" t="n">
        <v>64857.66</v>
      </c>
      <c r="H1438" s="4">
        <f>MAX(0,G1438-SUMIFS('Paiements contrat'!$B:$B,'Paiements contrat'!$A:$A,A1438))</f>
        <v/>
      </c>
      <c r="I1438" s="4" t="n">
        <v>48057.95732377388</v>
      </c>
      <c r="J1438" t="inlineStr">
        <is>
          <t>contentieux</t>
        </is>
      </c>
    </row>
    <row r="1439">
      <c r="A1439" t="inlineStr">
        <is>
          <t>CTR-01467</t>
        </is>
      </c>
      <c r="B1439" t="inlineStr">
        <is>
          <t>CLI-01484</t>
        </is>
      </c>
      <c r="C1439" t="inlineStr">
        <is>
          <t>Île-de-France</t>
        </is>
      </c>
      <c r="D1439" t="inlineStr">
        <is>
          <t>materiel</t>
        </is>
      </c>
      <c r="E1439" t="inlineStr">
        <is>
          <t>crédit-bail</t>
        </is>
      </c>
      <c r="F1439" t="inlineStr">
        <is>
          <t>2025-12-19</t>
        </is>
      </c>
      <c r="G1439" s="4" t="n">
        <v>36333.54</v>
      </c>
      <c r="H1439" s="4">
        <f>MAX(0,G1439-SUMIFS('Paiements contrat'!$B:$B,'Paiements contrat'!$A:$A,A1439))</f>
        <v/>
      </c>
      <c r="I1439" s="4" t="n">
        <v>34951.73</v>
      </c>
      <c r="J1439" t="inlineStr">
        <is>
          <t>actif</t>
        </is>
      </c>
    </row>
    <row r="1440">
      <c r="A1440" t="inlineStr">
        <is>
          <t>CTR-01468</t>
        </is>
      </c>
      <c r="B1440" t="inlineStr">
        <is>
          <t>CLI-00003</t>
        </is>
      </c>
      <c r="C1440" t="inlineStr">
        <is>
          <t>Île-de-France</t>
        </is>
      </c>
      <c r="D1440" t="inlineStr">
        <is>
          <t>materiel</t>
        </is>
      </c>
      <c r="E1440" t="inlineStr">
        <is>
          <t>crédit-bail</t>
        </is>
      </c>
      <c r="F1440" t="inlineStr">
        <is>
          <t>2024-06-05</t>
        </is>
      </c>
      <c r="G1440" s="4" t="n">
        <v>92507.25</v>
      </c>
      <c r="H1440" s="4">
        <f>MAX(0,G1440-SUMIFS('Paiements contrat'!$B:$B,'Paiements contrat'!$A:$A,A1440))</f>
        <v/>
      </c>
      <c r="I1440" s="4" t="n">
        <v>21609.18450000488</v>
      </c>
      <c r="J1440" t="inlineStr">
        <is>
          <t>actif</t>
        </is>
      </c>
    </row>
    <row r="1441">
      <c r="A1441" t="inlineStr">
        <is>
          <t>CTR-01469</t>
        </is>
      </c>
      <c r="B1441" t="inlineStr">
        <is>
          <t>CLI-01349</t>
        </is>
      </c>
      <c r="C1441" t="inlineStr">
        <is>
          <t>Guadeloupe</t>
        </is>
      </c>
      <c r="D1441" t="inlineStr">
        <is>
          <t>auto</t>
        </is>
      </c>
      <c r="E1441" t="inlineStr">
        <is>
          <t>LLD</t>
        </is>
      </c>
      <c r="F1441" t="inlineStr">
        <is>
          <t>2025-05-26</t>
        </is>
      </c>
      <c r="G1441" s="4" t="n">
        <v>39364.54</v>
      </c>
      <c r="H1441" s="4">
        <f>MAX(0,G1441-SUMIFS('Paiements contrat'!$B:$B,'Paiements contrat'!$A:$A,A1441))</f>
        <v/>
      </c>
      <c r="I1441" s="4" t="n">
        <v>30522.76597295597</v>
      </c>
      <c r="J1441" t="inlineStr">
        <is>
          <t>actif</t>
        </is>
      </c>
    </row>
    <row r="1442">
      <c r="A1442" t="inlineStr">
        <is>
          <t>CTR-01470</t>
        </is>
      </c>
      <c r="B1442" t="inlineStr">
        <is>
          <t>CLI-00337</t>
        </is>
      </c>
      <c r="C1442" t="inlineStr">
        <is>
          <t>Réunion</t>
        </is>
      </c>
      <c r="D1442" t="inlineStr">
        <is>
          <t>materiel</t>
        </is>
      </c>
      <c r="E1442" t="inlineStr">
        <is>
          <t>crédit-bail</t>
        </is>
      </c>
      <c r="F1442" t="inlineStr">
        <is>
          <t>2025-12-18</t>
        </is>
      </c>
      <c r="G1442" s="4" t="n">
        <v>60199.09</v>
      </c>
      <c r="H1442" s="4">
        <f>MAX(0,G1442-SUMIFS('Paiements contrat'!$B:$B,'Paiements contrat'!$A:$A,A1442))</f>
        <v/>
      </c>
      <c r="I1442" s="4" t="n">
        <v>55463.1</v>
      </c>
      <c r="J1442" t="inlineStr">
        <is>
          <t>actif</t>
        </is>
      </c>
    </row>
    <row r="1443">
      <c r="A1443" t="inlineStr">
        <is>
          <t>CTR-01471</t>
        </is>
      </c>
      <c r="B1443" t="inlineStr">
        <is>
          <t>CLI-00531</t>
        </is>
      </c>
      <c r="C1443" t="inlineStr">
        <is>
          <t>Guyane</t>
        </is>
      </c>
      <c r="D1443" t="inlineStr">
        <is>
          <t>auto</t>
        </is>
      </c>
      <c r="E1443" t="inlineStr">
        <is>
          <t>LOA</t>
        </is>
      </c>
      <c r="F1443" t="inlineStr">
        <is>
          <t>2025-08-06</t>
        </is>
      </c>
      <c r="G1443" s="4" t="n">
        <v>47907.51</v>
      </c>
      <c r="H1443" s="4">
        <f>MAX(0,G1443-SUMIFS('Paiements contrat'!$B:$B,'Paiements contrat'!$A:$A,A1443))</f>
        <v/>
      </c>
      <c r="I1443" s="4" t="n">
        <v>20292.34</v>
      </c>
      <c r="J1443" t="inlineStr">
        <is>
          <t>actif</t>
        </is>
      </c>
    </row>
    <row r="1444">
      <c r="A1444" t="inlineStr">
        <is>
          <t>CTR-01472</t>
        </is>
      </c>
      <c r="B1444" t="inlineStr">
        <is>
          <t>CLI-00656</t>
        </is>
      </c>
      <c r="C1444" t="inlineStr">
        <is>
          <t>Île-de-France</t>
        </is>
      </c>
      <c r="D1444" t="inlineStr">
        <is>
          <t>auto</t>
        </is>
      </c>
      <c r="E1444" t="inlineStr">
        <is>
          <t>LOA</t>
        </is>
      </c>
      <c r="F1444" t="inlineStr">
        <is>
          <t>2025-09-10</t>
        </is>
      </c>
      <c r="G1444" s="4" t="n">
        <v>17423.9</v>
      </c>
      <c r="H1444" s="4">
        <f>MAX(0,G1444-SUMIFS('Paiements contrat'!$B:$B,'Paiements contrat'!$A:$A,A1444))</f>
        <v/>
      </c>
      <c r="I1444" s="4" t="n">
        <v>15843.94</v>
      </c>
      <c r="J1444" t="inlineStr">
        <is>
          <t>actif</t>
        </is>
      </c>
    </row>
    <row r="1445">
      <c r="A1445" t="inlineStr">
        <is>
          <t>CTR-01473</t>
        </is>
      </c>
      <c r="B1445" t="inlineStr">
        <is>
          <t>CLI-01220</t>
        </is>
      </c>
      <c r="C1445" t="inlineStr">
        <is>
          <t>Île-de-France</t>
        </is>
      </c>
      <c r="D1445" t="inlineStr">
        <is>
          <t>materiel</t>
        </is>
      </c>
      <c r="E1445" t="inlineStr">
        <is>
          <t>crédit-bail</t>
        </is>
      </c>
      <c r="F1445" t="inlineStr">
        <is>
          <t>2025-08-10</t>
        </is>
      </c>
      <c r="G1445" s="4" t="n">
        <v>202589.14</v>
      </c>
      <c r="H1445" s="4">
        <f>MAX(0,G1445-SUMIFS('Paiements contrat'!$B:$B,'Paiements contrat'!$A:$A,A1445))</f>
        <v/>
      </c>
      <c r="I1445" s="4" t="n">
        <v>167685.4684041669</v>
      </c>
      <c r="J1445" t="inlineStr">
        <is>
          <t>actif</t>
        </is>
      </c>
    </row>
    <row r="1446">
      <c r="A1446" t="inlineStr">
        <is>
          <t>CTR-01474</t>
        </is>
      </c>
      <c r="B1446" t="inlineStr">
        <is>
          <t>CLI-00219</t>
        </is>
      </c>
      <c r="C1446" t="inlineStr">
        <is>
          <t>Martinique</t>
        </is>
      </c>
      <c r="D1446" t="inlineStr">
        <is>
          <t>auto</t>
        </is>
      </c>
      <c r="E1446" t="inlineStr">
        <is>
          <t>LOA</t>
        </is>
      </c>
      <c r="F1446" t="inlineStr">
        <is>
          <t>2024-06-18</t>
        </is>
      </c>
      <c r="G1446" s="4" t="n">
        <v>23633.15</v>
      </c>
      <c r="H1446" s="4">
        <f>MAX(0,G1446-SUMIFS('Paiements contrat'!$B:$B,'Paiements contrat'!$A:$A,A1446))</f>
        <v/>
      </c>
      <c r="I1446" s="4" t="n">
        <v>5127.800000000003</v>
      </c>
      <c r="J1446" t="inlineStr">
        <is>
          <t>actif</t>
        </is>
      </c>
    </row>
    <row r="1447">
      <c r="A1447" t="inlineStr">
        <is>
          <t>CTR-01475</t>
        </is>
      </c>
      <c r="B1447" t="inlineStr">
        <is>
          <t>CLI-01262</t>
        </is>
      </c>
      <c r="C1447" t="inlineStr">
        <is>
          <t>Île-de-France</t>
        </is>
      </c>
      <c r="D1447" t="inlineStr">
        <is>
          <t>auto</t>
        </is>
      </c>
      <c r="E1447" t="inlineStr">
        <is>
          <t>LOA</t>
        </is>
      </c>
      <c r="F1447" t="inlineStr">
        <is>
          <t>2025-08-13</t>
        </is>
      </c>
      <c r="G1447" s="4" t="n">
        <v>10889.57</v>
      </c>
      <c r="H1447" s="4">
        <f>MAX(0,G1447-SUMIFS('Paiements contrat'!$B:$B,'Paiements contrat'!$A:$A,A1447))</f>
        <v/>
      </c>
      <c r="I1447" s="4" t="n">
        <v>7867.889999999999</v>
      </c>
      <c r="J1447" t="inlineStr">
        <is>
          <t>actif</t>
        </is>
      </c>
    </row>
    <row r="1448">
      <c r="A1448" t="inlineStr">
        <is>
          <t>CTR-01476</t>
        </is>
      </c>
      <c r="B1448" t="inlineStr">
        <is>
          <t>CLI-00105</t>
        </is>
      </c>
      <c r="C1448" t="inlineStr">
        <is>
          <t>Guadeloupe</t>
        </is>
      </c>
      <c r="D1448" t="inlineStr">
        <is>
          <t>auto</t>
        </is>
      </c>
      <c r="E1448" t="inlineStr">
        <is>
          <t>LOA</t>
        </is>
      </c>
      <c r="F1448" t="inlineStr">
        <is>
          <t>2024-05-06</t>
        </is>
      </c>
      <c r="G1448" s="4" t="n">
        <v>32657.08</v>
      </c>
      <c r="H1448" s="4">
        <f>MAX(0,G1448-SUMIFS('Paiements contrat'!$B:$B,'Paiements contrat'!$A:$A,A1448))</f>
        <v/>
      </c>
      <c r="I1448" s="4" t="n">
        <v>0</v>
      </c>
      <c r="J1448" t="inlineStr">
        <is>
          <t>soldé</t>
        </is>
      </c>
    </row>
    <row r="1449">
      <c r="A1449" t="inlineStr">
        <is>
          <t>CTR-01477</t>
        </is>
      </c>
      <c r="B1449" t="inlineStr">
        <is>
          <t>CLI-00849</t>
        </is>
      </c>
      <c r="C1449" t="inlineStr">
        <is>
          <t>Île-de-France</t>
        </is>
      </c>
      <c r="D1449" t="inlineStr">
        <is>
          <t>materiel</t>
        </is>
      </c>
      <c r="E1449" t="inlineStr">
        <is>
          <t>crédit-bail</t>
        </is>
      </c>
      <c r="F1449" t="inlineStr">
        <is>
          <t>2025-02-05</t>
        </is>
      </c>
      <c r="G1449" s="4" t="n">
        <v>79705.57000000001</v>
      </c>
      <c r="H1449" s="4">
        <f>MAX(0,G1449-SUMIFS('Paiements contrat'!$B:$B,'Paiements contrat'!$A:$A,A1449))</f>
        <v/>
      </c>
      <c r="I1449" s="4" t="n">
        <v>0</v>
      </c>
      <c r="J1449" t="inlineStr">
        <is>
          <t>actif</t>
        </is>
      </c>
    </row>
    <row r="1450">
      <c r="A1450" t="inlineStr">
        <is>
          <t>CTR-01478</t>
        </is>
      </c>
      <c r="B1450" t="inlineStr">
        <is>
          <t>CLI-01299</t>
        </is>
      </c>
      <c r="C1450" t="inlineStr">
        <is>
          <t>Île-de-France</t>
        </is>
      </c>
      <c r="D1450" t="inlineStr">
        <is>
          <t>materiel</t>
        </is>
      </c>
      <c r="E1450" t="inlineStr">
        <is>
          <t>crédit-bail</t>
        </is>
      </c>
      <c r="F1450" t="inlineStr">
        <is>
          <t>2025-11-23</t>
        </is>
      </c>
      <c r="G1450" s="4" t="n">
        <v>124885.82</v>
      </c>
      <c r="H1450" s="4">
        <f>MAX(0,G1450-SUMIFS('Paiements contrat'!$B:$B,'Paiements contrat'!$A:$A,A1450))</f>
        <v/>
      </c>
      <c r="I1450" s="4" t="n">
        <v>119030.17</v>
      </c>
      <c r="J1450" t="inlineStr">
        <is>
          <t>actif</t>
        </is>
      </c>
    </row>
    <row r="1451">
      <c r="A1451" t="inlineStr">
        <is>
          <t>CTR-01479</t>
        </is>
      </c>
      <c r="B1451" t="inlineStr">
        <is>
          <t>CLI-00762</t>
        </is>
      </c>
      <c r="C1451" t="inlineStr">
        <is>
          <t>Île-de-France</t>
        </is>
      </c>
      <c r="D1451" t="inlineStr">
        <is>
          <t>auto</t>
        </is>
      </c>
      <c r="E1451" t="inlineStr">
        <is>
          <t>LOA</t>
        </is>
      </c>
      <c r="F1451" t="inlineStr">
        <is>
          <t>2025-10-17</t>
        </is>
      </c>
      <c r="G1451" s="4" t="n">
        <v>14206.84</v>
      </c>
      <c r="H1451" s="4">
        <f>MAX(0,G1451-SUMIFS('Paiements contrat'!$B:$B,'Paiements contrat'!$A:$A,A1451))</f>
        <v/>
      </c>
      <c r="I1451" s="4" t="n">
        <v>12544.55</v>
      </c>
      <c r="J1451" t="inlineStr">
        <is>
          <t>actif</t>
        </is>
      </c>
    </row>
    <row r="1452">
      <c r="A1452" t="inlineStr">
        <is>
          <t>CTR-01480</t>
        </is>
      </c>
      <c r="B1452" t="inlineStr">
        <is>
          <t>CLI-00425</t>
        </is>
      </c>
      <c r="C1452" t="inlineStr">
        <is>
          <t>Réunion</t>
        </is>
      </c>
      <c r="D1452" t="inlineStr">
        <is>
          <t>auto</t>
        </is>
      </c>
      <c r="E1452" t="inlineStr">
        <is>
          <t>LOA</t>
        </is>
      </c>
      <c r="F1452" t="inlineStr">
        <is>
          <t>2026-01-17</t>
        </is>
      </c>
      <c r="G1452" s="4" t="n">
        <v>36035.59</v>
      </c>
      <c r="H1452" s="4">
        <f>MAX(0,G1452-SUMIFS('Paiements contrat'!$B:$B,'Paiements contrat'!$A:$A,A1452))</f>
        <v/>
      </c>
      <c r="I1452" s="4" t="n">
        <v>34259.75999999999</v>
      </c>
      <c r="J1452" t="inlineStr">
        <is>
          <t>actif</t>
        </is>
      </c>
    </row>
    <row r="1453">
      <c r="A1453" t="inlineStr">
        <is>
          <t>CTR-01481</t>
        </is>
      </c>
      <c r="B1453" t="inlineStr">
        <is>
          <t>CLI-01316</t>
        </is>
      </c>
      <c r="C1453" t="inlineStr">
        <is>
          <t>Île-de-France</t>
        </is>
      </c>
      <c r="D1453" t="inlineStr">
        <is>
          <t>auto</t>
        </is>
      </c>
      <c r="E1453" t="inlineStr">
        <is>
          <t>LOA</t>
        </is>
      </c>
      <c r="F1453" t="inlineStr">
        <is>
          <t>2024-07-05</t>
        </is>
      </c>
      <c r="G1453" s="4" t="n">
        <v>52016.56</v>
      </c>
      <c r="H1453" s="4">
        <f>MAX(0,G1453-SUMIFS('Paiements contrat'!$B:$B,'Paiements contrat'!$A:$A,A1453))</f>
        <v/>
      </c>
      <c r="I1453" s="4" t="n">
        <v>0</v>
      </c>
      <c r="J1453" t="inlineStr">
        <is>
          <t>soldé</t>
        </is>
      </c>
    </row>
    <row r="1454">
      <c r="A1454" t="inlineStr">
        <is>
          <t>CTR-01482</t>
        </is>
      </c>
      <c r="B1454" t="inlineStr">
        <is>
          <t>CLI-00792</t>
        </is>
      </c>
      <c r="C1454" t="inlineStr">
        <is>
          <t>Île-de-France</t>
        </is>
      </c>
      <c r="D1454" t="inlineStr">
        <is>
          <t>auto</t>
        </is>
      </c>
      <c r="E1454" t="inlineStr">
        <is>
          <t>LOA</t>
        </is>
      </c>
      <c r="F1454" t="inlineStr">
        <is>
          <t>2024-09-11</t>
        </is>
      </c>
      <c r="G1454" s="4" t="n">
        <v>45238.68</v>
      </c>
      <c r="H1454" s="4">
        <f>MAX(0,G1454-SUMIFS('Paiements contrat'!$B:$B,'Paiements contrat'!$A:$A,A1454))</f>
        <v/>
      </c>
      <c r="I1454" s="4" t="n">
        <v>23132.2</v>
      </c>
      <c r="J1454" t="inlineStr">
        <is>
          <t>actif</t>
        </is>
      </c>
    </row>
    <row r="1455">
      <c r="A1455" t="inlineStr">
        <is>
          <t>CTR-01483</t>
        </is>
      </c>
      <c r="B1455" t="inlineStr">
        <is>
          <t>CLI-01467</t>
        </is>
      </c>
      <c r="C1455" t="inlineStr">
        <is>
          <t>Île-de-France</t>
        </is>
      </c>
      <c r="D1455" t="inlineStr">
        <is>
          <t>auto</t>
        </is>
      </c>
      <c r="E1455" t="inlineStr">
        <is>
          <t>LOA</t>
        </is>
      </c>
      <c r="F1455" t="inlineStr">
        <is>
          <t>2025-07-18</t>
        </is>
      </c>
      <c r="G1455" s="4" t="n">
        <v>44609.84</v>
      </c>
      <c r="H1455" s="4">
        <f>MAX(0,G1455-SUMIFS('Paiements contrat'!$B:$B,'Paiements contrat'!$A:$A,A1455))</f>
        <v/>
      </c>
      <c r="I1455" s="4" t="n">
        <v>39568.00999999999</v>
      </c>
      <c r="J1455" t="inlineStr">
        <is>
          <t>actif</t>
        </is>
      </c>
    </row>
    <row r="1456">
      <c r="A1456" t="inlineStr">
        <is>
          <t>CTR-01484</t>
        </is>
      </c>
      <c r="B1456" t="inlineStr">
        <is>
          <t>CLI-01121</t>
        </is>
      </c>
      <c r="C1456" t="inlineStr">
        <is>
          <t>Île-de-France</t>
        </is>
      </c>
      <c r="D1456" t="inlineStr">
        <is>
          <t>materiel</t>
        </is>
      </c>
      <c r="E1456" t="inlineStr">
        <is>
          <t>crédit-bail</t>
        </is>
      </c>
      <c r="F1456" t="inlineStr">
        <is>
          <t>2026-03-19</t>
        </is>
      </c>
      <c r="G1456" s="4" t="n">
        <v>113253.16</v>
      </c>
      <c r="H1456" s="4">
        <f>MAX(0,G1456-SUMIFS('Paiements contrat'!$B:$B,'Paiements contrat'!$A:$A,A1456))</f>
        <v/>
      </c>
      <c r="I1456" s="4" t="n">
        <v>113253.16</v>
      </c>
      <c r="J1456" t="inlineStr">
        <is>
          <t>actif</t>
        </is>
      </c>
    </row>
    <row r="1457">
      <c r="A1457" t="inlineStr">
        <is>
          <t>CTR-01485</t>
        </is>
      </c>
      <c r="B1457" t="inlineStr">
        <is>
          <t>CLI-01045</t>
        </is>
      </c>
      <c r="C1457" t="inlineStr">
        <is>
          <t>Île-de-France</t>
        </is>
      </c>
      <c r="D1457" t="inlineStr">
        <is>
          <t>bateau</t>
        </is>
      </c>
      <c r="E1457" t="inlineStr">
        <is>
          <t>LOA</t>
        </is>
      </c>
      <c r="F1457" t="inlineStr">
        <is>
          <t>2024-06-26</t>
        </is>
      </c>
      <c r="G1457" s="4" t="n">
        <v>94650.8</v>
      </c>
      <c r="H1457" s="4">
        <f>MAX(0,G1457-SUMIFS('Paiements contrat'!$B:$B,'Paiements contrat'!$A:$A,A1457))</f>
        <v/>
      </c>
      <c r="I1457" s="4" t="n">
        <v>2924.153967831997</v>
      </c>
      <c r="J1457" t="inlineStr">
        <is>
          <t>actif</t>
        </is>
      </c>
    </row>
    <row r="1458">
      <c r="A1458" t="inlineStr">
        <is>
          <t>CTR-01486</t>
        </is>
      </c>
      <c r="B1458" t="inlineStr">
        <is>
          <t>CLI-00890</t>
        </is>
      </c>
      <c r="C1458" t="inlineStr">
        <is>
          <t>Guadeloupe</t>
        </is>
      </c>
      <c r="D1458" t="inlineStr">
        <is>
          <t>auto</t>
        </is>
      </c>
      <c r="E1458" t="inlineStr">
        <is>
          <t>LOA</t>
        </is>
      </c>
      <c r="F1458" t="inlineStr">
        <is>
          <t>2024-06-16</t>
        </is>
      </c>
      <c r="G1458" s="4" t="n">
        <v>60894.15</v>
      </c>
      <c r="H1458" s="4">
        <f>MAX(0,G1458-SUMIFS('Paiements contrat'!$B:$B,'Paiements contrat'!$A:$A,A1458))</f>
        <v/>
      </c>
      <c r="I1458" s="4" t="n">
        <v>39012.8</v>
      </c>
      <c r="J1458" t="inlineStr">
        <is>
          <t>actif</t>
        </is>
      </c>
    </row>
    <row r="1459">
      <c r="A1459" t="inlineStr">
        <is>
          <t>CTR-01487</t>
        </is>
      </c>
      <c r="B1459" t="inlineStr">
        <is>
          <t>CLI-00466</t>
        </is>
      </c>
      <c r="C1459" t="inlineStr">
        <is>
          <t>Île-de-France</t>
        </is>
      </c>
      <c r="D1459" t="inlineStr">
        <is>
          <t>materiel</t>
        </is>
      </c>
      <c r="E1459" t="inlineStr">
        <is>
          <t>crédit-bail</t>
        </is>
      </c>
      <c r="F1459" t="inlineStr">
        <is>
          <t>2024-06-25</t>
        </is>
      </c>
      <c r="G1459" s="4" t="n">
        <v>127066.88</v>
      </c>
      <c r="H1459" s="4">
        <f>MAX(0,G1459-SUMIFS('Paiements contrat'!$B:$B,'Paiements contrat'!$A:$A,A1459))</f>
        <v/>
      </c>
      <c r="I1459" s="4" t="n">
        <v>59246.11665438315</v>
      </c>
      <c r="J1459" t="inlineStr">
        <is>
          <t>actif</t>
        </is>
      </c>
    </row>
    <row r="1460">
      <c r="A1460" t="inlineStr">
        <is>
          <t>CTR-01488</t>
        </is>
      </c>
      <c r="B1460" t="inlineStr">
        <is>
          <t>CLI-00745</t>
        </is>
      </c>
      <c r="C1460" t="inlineStr">
        <is>
          <t>Guyane</t>
        </is>
      </c>
      <c r="D1460" t="inlineStr">
        <is>
          <t>auto</t>
        </is>
      </c>
      <c r="E1460" t="inlineStr">
        <is>
          <t>LLD</t>
        </is>
      </c>
      <c r="F1460" t="inlineStr">
        <is>
          <t>2025-12-27</t>
        </is>
      </c>
      <c r="G1460" s="4" t="n">
        <v>26025.72</v>
      </c>
      <c r="H1460" s="4">
        <f>MAX(0,G1460-SUMIFS('Paiements contrat'!$B:$B,'Paiements contrat'!$A:$A,A1460))</f>
        <v/>
      </c>
      <c r="I1460" s="4" t="n">
        <v>22885.21</v>
      </c>
      <c r="J1460" t="inlineStr">
        <is>
          <t>actif</t>
        </is>
      </c>
    </row>
    <row r="1461">
      <c r="A1461" t="inlineStr">
        <is>
          <t>CTR-01489</t>
        </is>
      </c>
      <c r="B1461" t="inlineStr">
        <is>
          <t>CLI-00228</t>
        </is>
      </c>
      <c r="C1461" t="inlineStr">
        <is>
          <t>Guyane</t>
        </is>
      </c>
      <c r="D1461" t="inlineStr">
        <is>
          <t>bateau</t>
        </is>
      </c>
      <c r="E1461" t="inlineStr">
        <is>
          <t>LOA</t>
        </is>
      </c>
      <c r="F1461" t="inlineStr">
        <is>
          <t>2024-05-02</t>
        </is>
      </c>
      <c r="G1461" s="4" t="n">
        <v>156032.7</v>
      </c>
      <c r="H1461" s="4">
        <f>MAX(0,G1461-SUMIFS('Paiements contrat'!$B:$B,'Paiements contrat'!$A:$A,A1461))</f>
        <v/>
      </c>
      <c r="I1461" s="4" t="n">
        <v>66037.06941409659</v>
      </c>
      <c r="J1461" t="inlineStr">
        <is>
          <t>actif</t>
        </is>
      </c>
    </row>
    <row r="1462">
      <c r="A1462" t="inlineStr">
        <is>
          <t>CTR-01490</t>
        </is>
      </c>
      <c r="B1462" t="inlineStr">
        <is>
          <t>CLI-01227</t>
        </is>
      </c>
      <c r="C1462" t="inlineStr">
        <is>
          <t>Guyane</t>
        </is>
      </c>
      <c r="D1462" t="inlineStr">
        <is>
          <t>materiel</t>
        </is>
      </c>
      <c r="E1462" t="inlineStr">
        <is>
          <t>crédit-bail</t>
        </is>
      </c>
      <c r="F1462" t="inlineStr">
        <is>
          <t>2024-06-10</t>
        </is>
      </c>
      <c r="G1462" s="4" t="n">
        <v>103390.03</v>
      </c>
      <c r="H1462" s="4">
        <f>MAX(0,G1462-SUMIFS('Paiements contrat'!$B:$B,'Paiements contrat'!$A:$A,A1462))</f>
        <v/>
      </c>
      <c r="I1462" s="4" t="n">
        <v>60043.82</v>
      </c>
      <c r="J1462" t="inlineStr">
        <is>
          <t>actif</t>
        </is>
      </c>
    </row>
    <row r="1463">
      <c r="A1463" t="inlineStr">
        <is>
          <t>CTR-01491</t>
        </is>
      </c>
      <c r="B1463" t="inlineStr">
        <is>
          <t>CLI-01434</t>
        </is>
      </c>
      <c r="C1463" t="inlineStr">
        <is>
          <t>Île-de-France</t>
        </is>
      </c>
      <c r="D1463" t="inlineStr">
        <is>
          <t>auto</t>
        </is>
      </c>
      <c r="E1463" t="inlineStr">
        <is>
          <t>LLD</t>
        </is>
      </c>
      <c r="F1463" t="inlineStr">
        <is>
          <t>2025-12-15</t>
        </is>
      </c>
      <c r="G1463" s="4" t="n">
        <v>60076.01</v>
      </c>
      <c r="H1463" s="4">
        <f>MAX(0,G1463-SUMIFS('Paiements contrat'!$B:$B,'Paiements contrat'!$A:$A,A1463))</f>
        <v/>
      </c>
      <c r="I1463" s="4" t="n">
        <v>55233.53</v>
      </c>
      <c r="J1463" t="inlineStr">
        <is>
          <t>actif</t>
        </is>
      </c>
    </row>
    <row r="1464">
      <c r="A1464" t="inlineStr">
        <is>
          <t>CTR-01492</t>
        </is>
      </c>
      <c r="B1464" t="inlineStr">
        <is>
          <t>CLI-00266</t>
        </is>
      </c>
      <c r="C1464" t="inlineStr">
        <is>
          <t>Île-de-France</t>
        </is>
      </c>
      <c r="D1464" t="inlineStr">
        <is>
          <t>auto</t>
        </is>
      </c>
      <c r="E1464" t="inlineStr">
        <is>
          <t>LOA</t>
        </is>
      </c>
      <c r="F1464" t="inlineStr">
        <is>
          <t>2025-11-16</t>
        </is>
      </c>
      <c r="G1464" s="4" t="n">
        <v>16729.22</v>
      </c>
      <c r="H1464" s="4">
        <f>MAX(0,G1464-SUMIFS('Paiements contrat'!$B:$B,'Paiements contrat'!$A:$A,A1464))</f>
        <v/>
      </c>
      <c r="I1464" s="4" t="n">
        <v>15763.34</v>
      </c>
      <c r="J1464" t="inlineStr">
        <is>
          <t>actif</t>
        </is>
      </c>
    </row>
    <row r="1465">
      <c r="A1465" t="inlineStr">
        <is>
          <t>CTR-01493</t>
        </is>
      </c>
      <c r="B1465" t="inlineStr">
        <is>
          <t>CLI-01385</t>
        </is>
      </c>
      <c r="C1465" t="inlineStr">
        <is>
          <t>Île-de-France</t>
        </is>
      </c>
      <c r="D1465" t="inlineStr">
        <is>
          <t>auto</t>
        </is>
      </c>
      <c r="E1465" t="inlineStr">
        <is>
          <t>LOA</t>
        </is>
      </c>
      <c r="F1465" t="inlineStr">
        <is>
          <t>2024-10-03</t>
        </is>
      </c>
      <c r="G1465" s="4" t="n">
        <v>68678.25999999999</v>
      </c>
      <c r="H1465" s="4">
        <f>MAX(0,G1465-SUMIFS('Paiements contrat'!$B:$B,'Paiements contrat'!$A:$A,A1465))</f>
        <v/>
      </c>
      <c r="I1465" s="4" t="n">
        <v>21088.59</v>
      </c>
      <c r="J1465" t="inlineStr">
        <is>
          <t>actif</t>
        </is>
      </c>
    </row>
    <row r="1466">
      <c r="A1466" t="inlineStr">
        <is>
          <t>CTR-01494</t>
        </is>
      </c>
      <c r="B1466" t="inlineStr">
        <is>
          <t>CLI-01318</t>
        </is>
      </c>
      <c r="C1466" t="inlineStr">
        <is>
          <t>Île-de-France</t>
        </is>
      </c>
      <c r="D1466" t="inlineStr">
        <is>
          <t>auto</t>
        </is>
      </c>
      <c r="E1466" t="inlineStr">
        <is>
          <t>LLD</t>
        </is>
      </c>
      <c r="F1466" t="inlineStr">
        <is>
          <t>2025-05-20</t>
        </is>
      </c>
      <c r="G1466" s="4" t="n">
        <v>23340.25</v>
      </c>
      <c r="H1466" s="4">
        <f>MAX(0,G1466-SUMIFS('Paiements contrat'!$B:$B,'Paiements contrat'!$A:$A,A1466))</f>
        <v/>
      </c>
      <c r="I1466" s="4" t="n">
        <v>19233.36694962822</v>
      </c>
      <c r="J1466" t="inlineStr">
        <is>
          <t>actif</t>
        </is>
      </c>
    </row>
    <row r="1467">
      <c r="A1467" t="inlineStr">
        <is>
          <t>CTR-01495</t>
        </is>
      </c>
      <c r="B1467" t="inlineStr">
        <is>
          <t>CLI-01125</t>
        </is>
      </c>
      <c r="C1467" t="inlineStr">
        <is>
          <t>Île-de-France</t>
        </is>
      </c>
      <c r="D1467" t="inlineStr">
        <is>
          <t>auto</t>
        </is>
      </c>
      <c r="E1467" t="inlineStr">
        <is>
          <t>LOA</t>
        </is>
      </c>
      <c r="F1467" t="inlineStr">
        <is>
          <t>2024-09-12</t>
        </is>
      </c>
      <c r="G1467" s="4" t="n">
        <v>50440.85</v>
      </c>
      <c r="H1467" s="4">
        <f>MAX(0,G1467-SUMIFS('Paiements contrat'!$B:$B,'Paiements contrat'!$A:$A,A1467))</f>
        <v/>
      </c>
      <c r="I1467" s="4" t="n">
        <v>20624.58130475357</v>
      </c>
      <c r="J1467" t="inlineStr">
        <is>
          <t>actif</t>
        </is>
      </c>
    </row>
    <row r="1468">
      <c r="A1468" t="inlineStr">
        <is>
          <t>CTR-01496</t>
        </is>
      </c>
      <c r="B1468" t="inlineStr">
        <is>
          <t>CLI-00323</t>
        </is>
      </c>
      <c r="C1468" t="inlineStr">
        <is>
          <t>Réunion</t>
        </is>
      </c>
      <c r="D1468" t="inlineStr">
        <is>
          <t>auto</t>
        </is>
      </c>
      <c r="E1468" t="inlineStr">
        <is>
          <t>LOA</t>
        </is>
      </c>
      <c r="F1468" t="inlineStr">
        <is>
          <t>2024-12-22</t>
        </is>
      </c>
      <c r="G1468" s="4" t="n">
        <v>11731.09</v>
      </c>
      <c r="H1468" s="4">
        <f>MAX(0,G1468-SUMIFS('Paiements contrat'!$B:$B,'Paiements contrat'!$A:$A,A1468))</f>
        <v/>
      </c>
      <c r="I1468" s="4" t="n">
        <v>9692.106819853701</v>
      </c>
      <c r="J1468" t="inlineStr">
        <is>
          <t>actif</t>
        </is>
      </c>
    </row>
    <row r="1469">
      <c r="A1469" t="inlineStr">
        <is>
          <t>CTR-01497</t>
        </is>
      </c>
      <c r="B1469" t="inlineStr">
        <is>
          <t>CLI-00332</t>
        </is>
      </c>
      <c r="C1469" t="inlineStr">
        <is>
          <t>Guyane</t>
        </is>
      </c>
      <c r="D1469" t="inlineStr">
        <is>
          <t>auto</t>
        </is>
      </c>
      <c r="E1469" t="inlineStr">
        <is>
          <t>LOA</t>
        </is>
      </c>
      <c r="F1469" t="inlineStr">
        <is>
          <t>2024-07-14</t>
        </is>
      </c>
      <c r="G1469" s="4" t="n">
        <v>32727.64</v>
      </c>
      <c r="H1469" s="4">
        <f>MAX(0,G1469-SUMIFS('Paiements contrat'!$B:$B,'Paiements contrat'!$A:$A,A1469))</f>
        <v/>
      </c>
      <c r="I1469" s="4" t="n">
        <v>13422.09</v>
      </c>
      <c r="J1469" t="inlineStr">
        <is>
          <t>actif</t>
        </is>
      </c>
    </row>
    <row r="1470">
      <c r="A1470" t="inlineStr">
        <is>
          <t>CTR-01498</t>
        </is>
      </c>
      <c r="B1470" t="inlineStr">
        <is>
          <t>CLI-00484</t>
        </is>
      </c>
      <c r="C1470" t="inlineStr">
        <is>
          <t>Île-de-France</t>
        </is>
      </c>
      <c r="D1470" t="inlineStr">
        <is>
          <t>materiel</t>
        </is>
      </c>
      <c r="E1470" t="inlineStr">
        <is>
          <t>crédit-bail</t>
        </is>
      </c>
      <c r="F1470" t="inlineStr">
        <is>
          <t>2026-03-27</t>
        </is>
      </c>
      <c r="G1470" s="4" t="n">
        <v>38455.68</v>
      </c>
      <c r="H1470" s="4">
        <f>MAX(0,G1470-SUMIFS('Paiements contrat'!$B:$B,'Paiements contrat'!$A:$A,A1470))</f>
        <v/>
      </c>
      <c r="I1470" s="4" t="n">
        <v>38455.68</v>
      </c>
      <c r="J1470" t="inlineStr">
        <is>
          <t>actif</t>
        </is>
      </c>
    </row>
    <row r="1471">
      <c r="A1471" t="inlineStr">
        <is>
          <t>CTR-01499</t>
        </is>
      </c>
      <c r="B1471" t="inlineStr">
        <is>
          <t>CLI-01480</t>
        </is>
      </c>
      <c r="C1471" t="inlineStr">
        <is>
          <t>Île-de-France</t>
        </is>
      </c>
      <c r="D1471" t="inlineStr">
        <is>
          <t>materiel</t>
        </is>
      </c>
      <c r="E1471" t="inlineStr">
        <is>
          <t>crédit-bail</t>
        </is>
      </c>
      <c r="F1471" t="inlineStr">
        <is>
          <t>2024-06-06</t>
        </is>
      </c>
      <c r="G1471" s="4" t="n">
        <v>21330.41</v>
      </c>
      <c r="H1471" s="4">
        <f>MAX(0,G1471-SUMIFS('Paiements contrat'!$B:$B,'Paiements contrat'!$A:$A,A1471))</f>
        <v/>
      </c>
      <c r="I1471" s="4" t="n">
        <v>15634.14743025982</v>
      </c>
      <c r="J1471" t="inlineStr">
        <is>
          <t>actif</t>
        </is>
      </c>
    </row>
    <row r="1472">
      <c r="A1472" t="inlineStr">
        <is>
          <t>CTR-01500</t>
        </is>
      </c>
      <c r="B1472" t="inlineStr">
        <is>
          <t>CLI-01001</t>
        </is>
      </c>
      <c r="C1472" t="inlineStr">
        <is>
          <t>Martinique</t>
        </is>
      </c>
      <c r="D1472" t="inlineStr">
        <is>
          <t>materiel</t>
        </is>
      </c>
      <c r="E1472" t="inlineStr">
        <is>
          <t>crédit-bail</t>
        </is>
      </c>
      <c r="F1472" t="inlineStr">
        <is>
          <t>2025-01-05</t>
        </is>
      </c>
      <c r="G1472" s="4" t="n">
        <v>12711.48</v>
      </c>
      <c r="H1472" s="4">
        <f>MAX(0,G1472-SUMIFS('Paiements contrat'!$B:$B,'Paiements contrat'!$A:$A,A1472))</f>
        <v/>
      </c>
      <c r="I1472" s="4" t="n">
        <v>1065.219999999999</v>
      </c>
      <c r="J1472" t="inlineStr">
        <is>
          <t>soldé</t>
        </is>
      </c>
    </row>
    <row r="1473">
      <c r="A1473" t="inlineStr">
        <is>
          <t>CTR-01501</t>
        </is>
      </c>
      <c r="B1473" t="inlineStr">
        <is>
          <t>CLI-00557</t>
        </is>
      </c>
      <c r="C1473" t="inlineStr">
        <is>
          <t>Île-de-France</t>
        </is>
      </c>
      <c r="D1473" t="inlineStr">
        <is>
          <t>materiel</t>
        </is>
      </c>
      <c r="E1473" t="inlineStr">
        <is>
          <t>crédit-bail</t>
        </is>
      </c>
      <c r="F1473" t="inlineStr">
        <is>
          <t>2024-11-03</t>
        </is>
      </c>
      <c r="G1473" s="4" t="n">
        <v>60013.82</v>
      </c>
      <c r="H1473" s="4">
        <f>MAX(0,G1473-SUMIFS('Paiements contrat'!$B:$B,'Paiements contrat'!$A:$A,A1473))</f>
        <v/>
      </c>
      <c r="I1473" s="4" t="n">
        <v>39852.1596161472</v>
      </c>
      <c r="J1473" t="inlineStr">
        <is>
          <t>actif</t>
        </is>
      </c>
    </row>
    <row r="1474">
      <c r="A1474" t="inlineStr">
        <is>
          <t>CTR-01502</t>
        </is>
      </c>
      <c r="B1474" t="inlineStr">
        <is>
          <t>CLI-00743</t>
        </is>
      </c>
      <c r="C1474" t="inlineStr">
        <is>
          <t>Île-de-France</t>
        </is>
      </c>
      <c r="D1474" t="inlineStr">
        <is>
          <t>auto</t>
        </is>
      </c>
      <c r="E1474" t="inlineStr">
        <is>
          <t>LLD</t>
        </is>
      </c>
      <c r="F1474" t="inlineStr">
        <is>
          <t>2024-12-22</t>
        </is>
      </c>
      <c r="G1474" s="4" t="n">
        <v>14928.78</v>
      </c>
      <c r="H1474" s="4">
        <f>MAX(0,G1474-SUMIFS('Paiements contrat'!$B:$B,'Paiements contrat'!$A:$A,A1474))</f>
        <v/>
      </c>
      <c r="I1474" s="4" t="n">
        <v>7516.790000000001</v>
      </c>
      <c r="J1474" t="inlineStr">
        <is>
          <t>contentieux</t>
        </is>
      </c>
    </row>
    <row r="1475">
      <c r="A1475" t="inlineStr">
        <is>
          <t>CTR-01503</t>
        </is>
      </c>
      <c r="B1475" t="inlineStr">
        <is>
          <t>CLI-01400</t>
        </is>
      </c>
      <c r="C1475" t="inlineStr">
        <is>
          <t>Guyane</t>
        </is>
      </c>
      <c r="D1475" t="inlineStr">
        <is>
          <t>auto</t>
        </is>
      </c>
      <c r="E1475" t="inlineStr">
        <is>
          <t>LLD</t>
        </is>
      </c>
      <c r="F1475" t="inlineStr">
        <is>
          <t>2025-08-05</t>
        </is>
      </c>
      <c r="G1475" s="4" t="n">
        <v>10378.41</v>
      </c>
      <c r="H1475" s="4">
        <f>MAX(0,G1475-SUMIFS('Paiements contrat'!$B:$B,'Paiements contrat'!$A:$A,A1475))</f>
        <v/>
      </c>
      <c r="I1475" s="4" t="n">
        <v>8775.83</v>
      </c>
      <c r="J1475" t="inlineStr">
        <is>
          <t>actif</t>
        </is>
      </c>
    </row>
    <row r="1476">
      <c r="A1476" t="inlineStr">
        <is>
          <t>CTR-01504</t>
        </is>
      </c>
      <c r="B1476" t="inlineStr">
        <is>
          <t>CLI-00598</t>
        </is>
      </c>
      <c r="C1476" t="inlineStr">
        <is>
          <t>Guadeloupe</t>
        </is>
      </c>
      <c r="D1476" t="inlineStr">
        <is>
          <t>auto</t>
        </is>
      </c>
      <c r="E1476" t="inlineStr">
        <is>
          <t>LOA</t>
        </is>
      </c>
      <c r="F1476" t="inlineStr">
        <is>
          <t>2025-10-15</t>
        </is>
      </c>
      <c r="G1476" s="4" t="n">
        <v>24872.11</v>
      </c>
      <c r="H1476" s="4">
        <f>MAX(0,G1476-SUMIFS('Paiements contrat'!$B:$B,'Paiements contrat'!$A:$A,A1476))</f>
        <v/>
      </c>
      <c r="I1476" s="4" t="n">
        <v>20992.63</v>
      </c>
      <c r="J1476" t="inlineStr">
        <is>
          <t>actif</t>
        </is>
      </c>
    </row>
    <row r="1477">
      <c r="A1477" t="inlineStr">
        <is>
          <t>CTR-01505</t>
        </is>
      </c>
      <c r="B1477" t="inlineStr">
        <is>
          <t>CLI-00690</t>
        </is>
      </c>
      <c r="C1477" t="inlineStr">
        <is>
          <t>Guadeloupe</t>
        </is>
      </c>
      <c r="D1477" t="inlineStr">
        <is>
          <t>auto</t>
        </is>
      </c>
      <c r="E1477" t="inlineStr">
        <is>
          <t>LOA</t>
        </is>
      </c>
      <c r="F1477" t="inlineStr">
        <is>
          <t>2026-03-12</t>
        </is>
      </c>
      <c r="G1477" s="4" t="n">
        <v>33402.06</v>
      </c>
      <c r="H1477" s="4">
        <f>MAX(0,G1477-SUMIFS('Paiements contrat'!$B:$B,'Paiements contrat'!$A:$A,A1477))</f>
        <v/>
      </c>
      <c r="I1477" s="4" t="n">
        <v>33402.06</v>
      </c>
      <c r="J1477" t="inlineStr">
        <is>
          <t>actif</t>
        </is>
      </c>
    </row>
    <row r="1478">
      <c r="A1478" t="inlineStr">
        <is>
          <t>CTR-01506</t>
        </is>
      </c>
      <c r="B1478" t="inlineStr">
        <is>
          <t>CLI-00355</t>
        </is>
      </c>
      <c r="C1478" t="inlineStr">
        <is>
          <t>Île-de-France</t>
        </is>
      </c>
      <c r="D1478" t="inlineStr">
        <is>
          <t>auto</t>
        </is>
      </c>
      <c r="E1478" t="inlineStr">
        <is>
          <t>LLD</t>
        </is>
      </c>
      <c r="F1478" t="inlineStr">
        <is>
          <t>2026-02-09</t>
        </is>
      </c>
      <c r="G1478" s="4" t="n">
        <v>39837.61</v>
      </c>
      <c r="H1478" s="4">
        <f>MAX(0,G1478-SUMIFS('Paiements contrat'!$B:$B,'Paiements contrat'!$A:$A,A1478))</f>
        <v/>
      </c>
      <c r="I1478" s="4" t="n">
        <v>38237.51</v>
      </c>
      <c r="J1478" t="inlineStr">
        <is>
          <t>actif</t>
        </is>
      </c>
    </row>
    <row r="1479">
      <c r="A1479" t="inlineStr">
        <is>
          <t>CTR-01507</t>
        </is>
      </c>
      <c r="B1479" t="inlineStr">
        <is>
          <t>CLI-00175</t>
        </is>
      </c>
      <c r="C1479" t="inlineStr">
        <is>
          <t>Île-de-France</t>
        </is>
      </c>
      <c r="D1479" t="inlineStr">
        <is>
          <t>materiel</t>
        </is>
      </c>
      <c r="E1479" t="inlineStr">
        <is>
          <t>crédit-bail</t>
        </is>
      </c>
      <c r="F1479" t="inlineStr">
        <is>
          <t>2024-06-07</t>
        </is>
      </c>
      <c r="G1479" s="4" t="n">
        <v>106266.97</v>
      </c>
      <c r="H1479" s="4">
        <f>MAX(0,G1479-SUMIFS('Paiements contrat'!$B:$B,'Paiements contrat'!$A:$A,A1479))</f>
        <v/>
      </c>
      <c r="I1479" s="4" t="n">
        <v>32043.05956779537</v>
      </c>
      <c r="J1479" t="inlineStr">
        <is>
          <t>actif</t>
        </is>
      </c>
    </row>
    <row r="1480">
      <c r="A1480" t="inlineStr">
        <is>
          <t>CTR-01508</t>
        </is>
      </c>
      <c r="B1480" t="inlineStr">
        <is>
          <t>CLI-00997</t>
        </is>
      </c>
      <c r="C1480" t="inlineStr">
        <is>
          <t>Île-de-France</t>
        </is>
      </c>
      <c r="D1480" t="inlineStr">
        <is>
          <t>materiel</t>
        </is>
      </c>
      <c r="E1480" t="inlineStr">
        <is>
          <t>crédit-bail</t>
        </is>
      </c>
      <c r="F1480" t="inlineStr">
        <is>
          <t>2026-02-06</t>
        </is>
      </c>
      <c r="G1480" s="4" t="n">
        <v>37623.86</v>
      </c>
      <c r="H1480" s="4">
        <f>MAX(0,G1480-SUMIFS('Paiements contrat'!$B:$B,'Paiements contrat'!$A:$A,A1480))</f>
        <v/>
      </c>
      <c r="I1480" s="4" t="n">
        <v>36494.86</v>
      </c>
      <c r="J1480" t="inlineStr">
        <is>
          <t>actif</t>
        </is>
      </c>
    </row>
    <row r="1481">
      <c r="A1481" t="inlineStr">
        <is>
          <t>CTR-01509</t>
        </is>
      </c>
      <c r="B1481" t="inlineStr">
        <is>
          <t>CLI-00700</t>
        </is>
      </c>
      <c r="C1481" t="inlineStr">
        <is>
          <t>Île-de-France</t>
        </is>
      </c>
      <c r="D1481" t="inlineStr">
        <is>
          <t>materiel</t>
        </is>
      </c>
      <c r="E1481" t="inlineStr">
        <is>
          <t>crédit-bail</t>
        </is>
      </c>
      <c r="F1481" t="inlineStr">
        <is>
          <t>2026-03-07</t>
        </is>
      </c>
      <c r="G1481" s="4" t="n">
        <v>102084.11</v>
      </c>
      <c r="H1481" s="4">
        <f>MAX(0,G1481-SUMIFS('Paiements contrat'!$B:$B,'Paiements contrat'!$A:$A,A1481))</f>
        <v/>
      </c>
      <c r="I1481" s="4" t="n">
        <v>102084.11</v>
      </c>
      <c r="J1481" t="inlineStr">
        <is>
          <t>actif</t>
        </is>
      </c>
    </row>
    <row r="1482">
      <c r="A1482" t="inlineStr">
        <is>
          <t>CTR-01510</t>
        </is>
      </c>
      <c r="B1482" t="inlineStr">
        <is>
          <t>CLI-01365</t>
        </is>
      </c>
      <c r="C1482" t="inlineStr">
        <is>
          <t>Île-de-France</t>
        </is>
      </c>
      <c r="D1482" t="inlineStr">
        <is>
          <t>auto</t>
        </is>
      </c>
      <c r="E1482" t="inlineStr">
        <is>
          <t>LLD</t>
        </is>
      </c>
      <c r="F1482" t="inlineStr">
        <is>
          <t>2024-07-20</t>
        </is>
      </c>
      <c r="G1482" s="4" t="n">
        <v>63188.35</v>
      </c>
      <c r="H1482" s="4">
        <f>MAX(0,G1482-SUMIFS('Paiements contrat'!$B:$B,'Paiements contrat'!$A:$A,A1482))</f>
        <v/>
      </c>
      <c r="I1482" s="4" t="n">
        <v>42940.24</v>
      </c>
      <c r="J1482" t="inlineStr">
        <is>
          <t>actif</t>
        </is>
      </c>
    </row>
    <row r="1483">
      <c r="A1483" t="inlineStr">
        <is>
          <t>CTR-01511</t>
        </is>
      </c>
      <c r="B1483" t="inlineStr">
        <is>
          <t>CLI-00284</t>
        </is>
      </c>
      <c r="C1483" t="inlineStr">
        <is>
          <t>Guyane</t>
        </is>
      </c>
      <c r="D1483" t="inlineStr">
        <is>
          <t>auto</t>
        </is>
      </c>
      <c r="E1483" t="inlineStr">
        <is>
          <t>LOA</t>
        </is>
      </c>
      <c r="F1483" t="inlineStr">
        <is>
          <t>2024-11-20</t>
        </is>
      </c>
      <c r="G1483" s="4" t="n">
        <v>22473.59</v>
      </c>
      <c r="H1483" s="4">
        <f>MAX(0,G1483-SUMIFS('Paiements contrat'!$B:$B,'Paiements contrat'!$A:$A,A1483))</f>
        <v/>
      </c>
      <c r="I1483" s="4" t="n">
        <v>15919.59685087304</v>
      </c>
      <c r="J1483" t="inlineStr">
        <is>
          <t>actif</t>
        </is>
      </c>
    </row>
    <row r="1484">
      <c r="A1484" t="inlineStr">
        <is>
          <t>CTR-01512</t>
        </is>
      </c>
      <c r="B1484" t="inlineStr">
        <is>
          <t>CLI-00649</t>
        </is>
      </c>
      <c r="C1484" t="inlineStr">
        <is>
          <t>Île-de-France</t>
        </is>
      </c>
      <c r="D1484" t="inlineStr">
        <is>
          <t>auto</t>
        </is>
      </c>
      <c r="E1484" t="inlineStr">
        <is>
          <t>LOA</t>
        </is>
      </c>
      <c r="F1484" t="inlineStr">
        <is>
          <t>2025-12-22</t>
        </is>
      </c>
      <c r="G1484" s="4" t="n">
        <v>52722.7</v>
      </c>
      <c r="H1484" s="4">
        <f>MAX(0,G1484-SUMIFS('Paiements contrat'!$B:$B,'Paiements contrat'!$A:$A,A1484))</f>
        <v/>
      </c>
      <c r="I1484" s="4" t="n">
        <v>39932.03999999999</v>
      </c>
      <c r="J1484" t="inlineStr">
        <is>
          <t>actif</t>
        </is>
      </c>
    </row>
    <row r="1485">
      <c r="A1485" t="inlineStr">
        <is>
          <t>CTR-01513</t>
        </is>
      </c>
      <c r="B1485" t="inlineStr">
        <is>
          <t>CLI-00052</t>
        </is>
      </c>
      <c r="C1485" t="inlineStr">
        <is>
          <t>Île-de-France</t>
        </is>
      </c>
      <c r="D1485" t="inlineStr">
        <is>
          <t>auto</t>
        </is>
      </c>
      <c r="E1485" t="inlineStr">
        <is>
          <t>LLD</t>
        </is>
      </c>
      <c r="F1485" t="inlineStr">
        <is>
          <t>2025-10-15</t>
        </is>
      </c>
      <c r="G1485" s="4" t="n">
        <v>10275.06</v>
      </c>
      <c r="H1485" s="4">
        <f>MAX(0,G1485-SUMIFS('Paiements contrat'!$B:$B,'Paiements contrat'!$A:$A,A1485))</f>
        <v/>
      </c>
      <c r="I1485" s="4" t="n">
        <v>9276</v>
      </c>
      <c r="J1485" t="inlineStr">
        <is>
          <t>actif</t>
        </is>
      </c>
    </row>
    <row r="1486">
      <c r="A1486" t="inlineStr">
        <is>
          <t>CTR-01514</t>
        </is>
      </c>
      <c r="B1486" t="inlineStr">
        <is>
          <t>CLI-01246</t>
        </is>
      </c>
      <c r="C1486" t="inlineStr">
        <is>
          <t>Guadeloupe</t>
        </is>
      </c>
      <c r="D1486" t="inlineStr">
        <is>
          <t>bateau</t>
        </is>
      </c>
      <c r="E1486" t="inlineStr">
        <is>
          <t>LOA</t>
        </is>
      </c>
      <c r="F1486" t="inlineStr">
        <is>
          <t>2025-09-04</t>
        </is>
      </c>
      <c r="G1486" s="4" t="n">
        <v>110071</v>
      </c>
      <c r="H1486" s="4">
        <f>MAX(0,G1486-SUMIFS('Paiements contrat'!$B:$B,'Paiements contrat'!$A:$A,A1486))</f>
        <v/>
      </c>
      <c r="I1486" s="4" t="n">
        <v>88813.37</v>
      </c>
      <c r="J1486" t="inlineStr">
        <is>
          <t>actif</t>
        </is>
      </c>
    </row>
    <row r="1487">
      <c r="A1487" t="inlineStr">
        <is>
          <t>CTR-01515</t>
        </is>
      </c>
      <c r="B1487" t="inlineStr">
        <is>
          <t>CLI-00696</t>
        </is>
      </c>
      <c r="C1487" t="inlineStr">
        <is>
          <t>Île-de-France</t>
        </is>
      </c>
      <c r="D1487" t="inlineStr">
        <is>
          <t>auto</t>
        </is>
      </c>
      <c r="E1487" t="inlineStr">
        <is>
          <t>LLD</t>
        </is>
      </c>
      <c r="F1487" t="inlineStr">
        <is>
          <t>2025-01-14</t>
        </is>
      </c>
      <c r="G1487" s="4" t="n">
        <v>29552.23</v>
      </c>
      <c r="H1487" s="4">
        <f>MAX(0,G1487-SUMIFS('Paiements contrat'!$B:$B,'Paiements contrat'!$A:$A,A1487))</f>
        <v/>
      </c>
      <c r="I1487" s="4" t="n">
        <v>24279.4297621226</v>
      </c>
      <c r="J1487" t="inlineStr">
        <is>
          <t>actif</t>
        </is>
      </c>
    </row>
    <row r="1488">
      <c r="A1488" t="inlineStr">
        <is>
          <t>CTR-01517</t>
        </is>
      </c>
      <c r="B1488" t="inlineStr">
        <is>
          <t>CLI-00842</t>
        </is>
      </c>
      <c r="C1488" t="inlineStr">
        <is>
          <t>Île-de-France</t>
        </is>
      </c>
      <c r="D1488" t="inlineStr">
        <is>
          <t>bateau</t>
        </is>
      </c>
      <c r="E1488" t="inlineStr">
        <is>
          <t>LOA</t>
        </is>
      </c>
      <c r="F1488" t="inlineStr">
        <is>
          <t>2024-04-11</t>
        </is>
      </c>
      <c r="G1488" s="4" t="n">
        <v>118304.06</v>
      </c>
      <c r="H1488" s="4">
        <f>MAX(0,G1488-SUMIFS('Paiements contrat'!$B:$B,'Paiements contrat'!$A:$A,A1488))</f>
        <v/>
      </c>
      <c r="I1488" s="4" t="n">
        <v>90233.92999999999</v>
      </c>
      <c r="J1488" t="inlineStr">
        <is>
          <t>actif</t>
        </is>
      </c>
    </row>
    <row r="1489">
      <c r="A1489" t="inlineStr">
        <is>
          <t>CTR-01518</t>
        </is>
      </c>
      <c r="B1489" t="inlineStr">
        <is>
          <t>CLI-00860</t>
        </is>
      </c>
      <c r="C1489" t="inlineStr">
        <is>
          <t>Île-de-France</t>
        </is>
      </c>
      <c r="D1489" t="inlineStr">
        <is>
          <t>auto</t>
        </is>
      </c>
      <c r="E1489" t="inlineStr">
        <is>
          <t>LOA</t>
        </is>
      </c>
      <c r="F1489" t="inlineStr">
        <is>
          <t>2025-09-22</t>
        </is>
      </c>
      <c r="G1489" s="4" t="n">
        <v>19767.34</v>
      </c>
      <c r="H1489" s="4">
        <f>MAX(0,G1489-SUMIFS('Paiements contrat'!$B:$B,'Paiements contrat'!$A:$A,A1489))</f>
        <v/>
      </c>
      <c r="I1489" s="4" t="n">
        <v>17995.84</v>
      </c>
      <c r="J1489" t="inlineStr">
        <is>
          <t>actif</t>
        </is>
      </c>
    </row>
    <row r="1490">
      <c r="A1490" t="inlineStr">
        <is>
          <t>CTR-01519</t>
        </is>
      </c>
      <c r="B1490" t="inlineStr">
        <is>
          <t>CLI-00529</t>
        </is>
      </c>
      <c r="C1490" t="inlineStr">
        <is>
          <t>Île-de-France</t>
        </is>
      </c>
      <c r="D1490" t="inlineStr">
        <is>
          <t>auto</t>
        </is>
      </c>
      <c r="E1490" t="inlineStr">
        <is>
          <t>LOA</t>
        </is>
      </c>
      <c r="F1490" t="inlineStr">
        <is>
          <t>2024-04-09</t>
        </is>
      </c>
      <c r="G1490" s="4" t="n">
        <v>65159.25</v>
      </c>
      <c r="H1490" s="4">
        <f>MAX(0,G1490-SUMIFS('Paiements contrat'!$B:$B,'Paiements contrat'!$A:$A,A1490))</f>
        <v/>
      </c>
      <c r="I1490" s="4" t="n">
        <v>8189.57</v>
      </c>
      <c r="J1490" t="inlineStr">
        <is>
          <t>actif</t>
        </is>
      </c>
    </row>
    <row r="1491">
      <c r="A1491" t="inlineStr">
        <is>
          <t>CTR-01520</t>
        </is>
      </c>
      <c r="B1491" t="inlineStr">
        <is>
          <t>CLI-00031</t>
        </is>
      </c>
      <c r="C1491" t="inlineStr">
        <is>
          <t>Île-de-France</t>
        </is>
      </c>
      <c r="D1491" t="inlineStr">
        <is>
          <t>auto</t>
        </is>
      </c>
      <c r="E1491" t="inlineStr">
        <is>
          <t>LOA</t>
        </is>
      </c>
      <c r="F1491" t="inlineStr">
        <is>
          <t>2025-11-13</t>
        </is>
      </c>
      <c r="G1491" s="4" t="n">
        <v>66155.28999999999</v>
      </c>
      <c r="H1491" s="4">
        <f>MAX(0,G1491-SUMIFS('Paiements contrat'!$B:$B,'Paiements contrat'!$A:$A,A1491))</f>
        <v/>
      </c>
      <c r="I1491" s="4" t="n">
        <v>52096.94</v>
      </c>
      <c r="J1491" t="inlineStr">
        <is>
          <t>actif</t>
        </is>
      </c>
    </row>
    <row r="1492">
      <c r="A1492" t="inlineStr">
        <is>
          <t>CTR-01521</t>
        </is>
      </c>
      <c r="B1492" t="inlineStr">
        <is>
          <t>CLI-01178</t>
        </is>
      </c>
      <c r="C1492" t="inlineStr">
        <is>
          <t>Île-de-France</t>
        </is>
      </c>
      <c r="D1492" t="inlineStr">
        <is>
          <t>materiel</t>
        </is>
      </c>
      <c r="E1492" t="inlineStr">
        <is>
          <t>crédit-bail</t>
        </is>
      </c>
      <c r="F1492" t="inlineStr">
        <is>
          <t>2024-04-10</t>
        </is>
      </c>
      <c r="G1492" s="4" t="n">
        <v>29858.54</v>
      </c>
      <c r="H1492" s="4">
        <f>MAX(0,G1492-SUMIFS('Paiements contrat'!$B:$B,'Paiements contrat'!$A:$A,A1492))</f>
        <v/>
      </c>
      <c r="I1492" s="4" t="n">
        <v>5038.27</v>
      </c>
      <c r="J1492" t="inlineStr">
        <is>
          <t>actif</t>
        </is>
      </c>
    </row>
    <row r="1493">
      <c r="A1493" t="inlineStr">
        <is>
          <t>CTR-01522</t>
        </is>
      </c>
      <c r="B1493" t="inlineStr">
        <is>
          <t>CLI-00518</t>
        </is>
      </c>
      <c r="C1493" t="inlineStr">
        <is>
          <t>Île-de-France</t>
        </is>
      </c>
      <c r="D1493" t="inlineStr">
        <is>
          <t>auto</t>
        </is>
      </c>
      <c r="E1493" t="inlineStr">
        <is>
          <t>LOA</t>
        </is>
      </c>
      <c r="F1493" t="inlineStr">
        <is>
          <t>2025-01-08</t>
        </is>
      </c>
      <c r="G1493" s="4" t="n">
        <v>70732.13</v>
      </c>
      <c r="H1493" s="4">
        <f>MAX(0,G1493-SUMIFS('Paiements contrat'!$B:$B,'Paiements contrat'!$A:$A,A1493))</f>
        <v/>
      </c>
      <c r="I1493" s="4" t="n">
        <v>58264.29000000001</v>
      </c>
      <c r="J1493" t="inlineStr">
        <is>
          <t>actif</t>
        </is>
      </c>
    </row>
    <row r="1494">
      <c r="A1494" t="inlineStr">
        <is>
          <t>CTR-01524</t>
        </is>
      </c>
      <c r="B1494" t="inlineStr">
        <is>
          <t>CLI-00648</t>
        </is>
      </c>
      <c r="C1494" t="inlineStr">
        <is>
          <t>Île-de-France</t>
        </is>
      </c>
      <c r="D1494" t="inlineStr">
        <is>
          <t>materiel</t>
        </is>
      </c>
      <c r="E1494" t="inlineStr">
        <is>
          <t>crédit-bail</t>
        </is>
      </c>
      <c r="F1494" t="inlineStr">
        <is>
          <t>2025-04-18</t>
        </is>
      </c>
      <c r="G1494" s="4" t="n">
        <v>113948.83</v>
      </c>
      <c r="H1494" s="4">
        <f>MAX(0,G1494-SUMIFS('Paiements contrat'!$B:$B,'Paiements contrat'!$A:$A,A1494))</f>
        <v/>
      </c>
      <c r="I1494" s="4" t="n">
        <v>97358.53</v>
      </c>
      <c r="J1494" t="inlineStr">
        <is>
          <t>actif</t>
        </is>
      </c>
    </row>
    <row r="1495">
      <c r="A1495" t="inlineStr">
        <is>
          <t>CTR-01525</t>
        </is>
      </c>
      <c r="B1495" t="inlineStr">
        <is>
          <t>CLI-01428</t>
        </is>
      </c>
      <c r="C1495" t="inlineStr">
        <is>
          <t>Île-de-France</t>
        </is>
      </c>
      <c r="D1495" t="inlineStr">
        <is>
          <t>materiel</t>
        </is>
      </c>
      <c r="E1495" t="inlineStr">
        <is>
          <t>crédit-bail</t>
        </is>
      </c>
      <c r="F1495" t="inlineStr">
        <is>
          <t>2025-08-05</t>
        </is>
      </c>
      <c r="G1495" s="4" t="n">
        <v>54984.32</v>
      </c>
      <c r="H1495" s="4">
        <f>MAX(0,G1495-SUMIFS('Paiements contrat'!$B:$B,'Paiements contrat'!$A:$A,A1495))</f>
        <v/>
      </c>
      <c r="I1495" s="4" t="n">
        <v>41878.83</v>
      </c>
      <c r="J1495" t="inlineStr">
        <is>
          <t>actif</t>
        </is>
      </c>
    </row>
    <row r="1496">
      <c r="A1496" t="inlineStr">
        <is>
          <t>CTR-01526</t>
        </is>
      </c>
      <c r="B1496" t="inlineStr">
        <is>
          <t>CLI-00211</t>
        </is>
      </c>
      <c r="C1496" t="inlineStr">
        <is>
          <t>Île-de-France</t>
        </is>
      </c>
      <c r="D1496" t="inlineStr">
        <is>
          <t>materiel</t>
        </is>
      </c>
      <c r="E1496" t="inlineStr">
        <is>
          <t>crédit-bail</t>
        </is>
      </c>
      <c r="F1496" t="inlineStr">
        <is>
          <t>2024-07-17</t>
        </is>
      </c>
      <c r="G1496" s="4" t="n">
        <v>39198.27</v>
      </c>
      <c r="H1496" s="4">
        <f>MAX(0,G1496-SUMIFS('Paiements contrat'!$B:$B,'Paiements contrat'!$A:$A,A1496))</f>
        <v/>
      </c>
      <c r="I1496" s="4" t="n">
        <v>26646.57779780062</v>
      </c>
      <c r="J1496" t="inlineStr">
        <is>
          <t>actif</t>
        </is>
      </c>
    </row>
    <row r="1497">
      <c r="A1497" t="inlineStr">
        <is>
          <t>CTR-01527</t>
        </is>
      </c>
      <c r="B1497" t="inlineStr">
        <is>
          <t>CLI-00690</t>
        </is>
      </c>
      <c r="C1497" t="inlineStr">
        <is>
          <t>Guadeloupe</t>
        </is>
      </c>
      <c r="D1497" t="inlineStr">
        <is>
          <t>auto</t>
        </is>
      </c>
      <c r="E1497" t="inlineStr">
        <is>
          <t>LOA</t>
        </is>
      </c>
      <c r="F1497" t="inlineStr">
        <is>
          <t>2024-05-14</t>
        </is>
      </c>
      <c r="G1497" s="4" t="n">
        <v>41458.33</v>
      </c>
      <c r="H1497" s="4">
        <f>MAX(0,G1497-SUMIFS('Paiements contrat'!$B:$B,'Paiements contrat'!$A:$A,A1497))</f>
        <v/>
      </c>
      <c r="I1497" s="4" t="n">
        <v>19588.96</v>
      </c>
      <c r="J1497" t="inlineStr">
        <is>
          <t>actif</t>
        </is>
      </c>
    </row>
    <row r="1498">
      <c r="A1498" t="inlineStr">
        <is>
          <t>CTR-01528</t>
        </is>
      </c>
      <c r="B1498" t="inlineStr">
        <is>
          <t>CLI-01001</t>
        </is>
      </c>
      <c r="C1498" t="inlineStr">
        <is>
          <t>Martinique</t>
        </is>
      </c>
      <c r="D1498" t="inlineStr">
        <is>
          <t>bateau</t>
        </is>
      </c>
      <c r="E1498" t="inlineStr">
        <is>
          <t>LOA</t>
        </is>
      </c>
      <c r="F1498" t="inlineStr">
        <is>
          <t>2024-09-08</t>
        </is>
      </c>
      <c r="G1498" s="4" t="n">
        <v>196040.68</v>
      </c>
      <c r="H1498" s="4">
        <f>MAX(0,G1498-SUMIFS('Paiements contrat'!$B:$B,'Paiements contrat'!$A:$A,A1498))</f>
        <v/>
      </c>
      <c r="I1498" s="4" t="n">
        <v>122661.9275678512</v>
      </c>
      <c r="J1498" t="inlineStr">
        <is>
          <t>actif</t>
        </is>
      </c>
    </row>
    <row r="1499">
      <c r="A1499" t="inlineStr">
        <is>
          <t>CTR-01529</t>
        </is>
      </c>
      <c r="B1499" t="inlineStr">
        <is>
          <t>CLI-00103</t>
        </is>
      </c>
      <c r="C1499" t="inlineStr">
        <is>
          <t>Réunion</t>
        </is>
      </c>
      <c r="D1499" t="inlineStr">
        <is>
          <t>auto</t>
        </is>
      </c>
      <c r="E1499" t="inlineStr">
        <is>
          <t>LOA</t>
        </is>
      </c>
      <c r="F1499" t="inlineStr">
        <is>
          <t>2025-06-12</t>
        </is>
      </c>
      <c r="G1499" s="4" t="n">
        <v>10258.19</v>
      </c>
      <c r="H1499" s="4">
        <f>MAX(0,G1499-SUMIFS('Paiements contrat'!$B:$B,'Paiements contrat'!$A:$A,A1499))</f>
        <v/>
      </c>
      <c r="I1499" s="4" t="n">
        <v>6977.68</v>
      </c>
      <c r="J1499" t="inlineStr">
        <is>
          <t>actif</t>
        </is>
      </c>
    </row>
    <row r="1500">
      <c r="A1500" t="inlineStr">
        <is>
          <t>CTR-01530</t>
        </is>
      </c>
      <c r="B1500" t="inlineStr">
        <is>
          <t>CLI-01429</t>
        </is>
      </c>
      <c r="C1500" t="inlineStr">
        <is>
          <t>Île-de-France</t>
        </is>
      </c>
      <c r="D1500" t="inlineStr">
        <is>
          <t>materiel</t>
        </is>
      </c>
      <c r="E1500" t="inlineStr">
        <is>
          <t>crédit-bail</t>
        </is>
      </c>
      <c r="F1500" t="inlineStr">
        <is>
          <t>2026-01-02</t>
        </is>
      </c>
      <c r="G1500" s="4" t="n">
        <v>26372.42</v>
      </c>
      <c r="H1500" s="4">
        <f>MAX(0,G1500-SUMIFS('Paiements contrat'!$B:$B,'Paiements contrat'!$A:$A,A1500))</f>
        <v/>
      </c>
      <c r="I1500" s="4" t="n">
        <v>25672.58</v>
      </c>
      <c r="J1500" t="inlineStr">
        <is>
          <t>actif</t>
        </is>
      </c>
    </row>
    <row r="1501">
      <c r="A1501" t="inlineStr">
        <is>
          <t>CTR-01531</t>
        </is>
      </c>
      <c r="B1501" t="inlineStr">
        <is>
          <t>CLI-01397</t>
        </is>
      </c>
      <c r="C1501" t="inlineStr">
        <is>
          <t>Réunion</t>
        </is>
      </c>
      <c r="D1501" t="inlineStr">
        <is>
          <t>auto</t>
        </is>
      </c>
      <c r="E1501" t="inlineStr">
        <is>
          <t>LOA</t>
        </is>
      </c>
      <c r="F1501" t="inlineStr">
        <is>
          <t>2026-03-22</t>
        </is>
      </c>
      <c r="G1501" s="4" t="n">
        <v>74686.81</v>
      </c>
      <c r="H1501" s="4">
        <f>MAX(0,G1501-SUMIFS('Paiements contrat'!$B:$B,'Paiements contrat'!$A:$A,A1501))</f>
        <v/>
      </c>
      <c r="I1501" s="4" t="n">
        <v>74686.81</v>
      </c>
      <c r="J1501" t="inlineStr">
        <is>
          <t>contentieux</t>
        </is>
      </c>
    </row>
    <row r="1502">
      <c r="A1502" t="inlineStr">
        <is>
          <t>CTR-01532</t>
        </is>
      </c>
      <c r="B1502" t="inlineStr">
        <is>
          <t>CLI-00476</t>
        </is>
      </c>
      <c r="C1502" t="inlineStr">
        <is>
          <t>Île-de-France</t>
        </is>
      </c>
      <c r="D1502" t="inlineStr">
        <is>
          <t>auto</t>
        </is>
      </c>
      <c r="E1502" t="inlineStr">
        <is>
          <t>LLD</t>
        </is>
      </c>
      <c r="F1502" t="inlineStr">
        <is>
          <t>2024-05-16</t>
        </is>
      </c>
      <c r="G1502" s="4" t="n">
        <v>30141.2</v>
      </c>
      <c r="H1502" s="4">
        <f>MAX(0,G1502-SUMIFS('Paiements contrat'!$B:$B,'Paiements contrat'!$A:$A,A1502))</f>
        <v/>
      </c>
      <c r="I1502" s="4" t="n">
        <v>13604.87883190118</v>
      </c>
      <c r="J1502" t="inlineStr">
        <is>
          <t>actif</t>
        </is>
      </c>
    </row>
    <row r="1503">
      <c r="A1503" t="inlineStr">
        <is>
          <t>CTR-01533</t>
        </is>
      </c>
      <c r="B1503" t="inlineStr">
        <is>
          <t>CLI-00050</t>
        </is>
      </c>
      <c r="C1503" t="inlineStr">
        <is>
          <t>Guyane</t>
        </is>
      </c>
      <c r="D1503" t="inlineStr">
        <is>
          <t>materiel</t>
        </is>
      </c>
      <c r="E1503" t="inlineStr">
        <is>
          <t>crédit-bail</t>
        </is>
      </c>
      <c r="F1503" t="inlineStr">
        <is>
          <t>2024-09-02</t>
        </is>
      </c>
      <c r="G1503" s="4" t="n">
        <v>183505.25</v>
      </c>
      <c r="H1503" s="4">
        <f>MAX(0,G1503-SUMIFS('Paiements contrat'!$B:$B,'Paiements contrat'!$A:$A,A1503))</f>
        <v/>
      </c>
      <c r="I1503" s="4" t="n">
        <v>70272.07130448712</v>
      </c>
      <c r="J1503" t="inlineStr">
        <is>
          <t>actif</t>
        </is>
      </c>
    </row>
    <row r="1504">
      <c r="A1504" t="inlineStr">
        <is>
          <t>CTR-01534</t>
        </is>
      </c>
      <c r="B1504" t="inlineStr">
        <is>
          <t>CLI-00583</t>
        </is>
      </c>
      <c r="C1504" t="inlineStr">
        <is>
          <t>Île-de-France</t>
        </is>
      </c>
      <c r="D1504" t="inlineStr">
        <is>
          <t>materiel</t>
        </is>
      </c>
      <c r="E1504" t="inlineStr">
        <is>
          <t>crédit-bail</t>
        </is>
      </c>
      <c r="F1504" t="inlineStr">
        <is>
          <t>2025-12-20</t>
        </is>
      </c>
      <c r="G1504" s="4" t="n">
        <v>143276.84</v>
      </c>
      <c r="H1504" s="4">
        <f>MAX(0,G1504-SUMIFS('Paiements contrat'!$B:$B,'Paiements contrat'!$A:$A,A1504))</f>
        <v/>
      </c>
      <c r="I1504" s="4" t="n">
        <v>132537.59</v>
      </c>
      <c r="J1504" t="inlineStr">
        <is>
          <t>actif</t>
        </is>
      </c>
    </row>
    <row r="1505">
      <c r="A1505" t="inlineStr">
        <is>
          <t>CTR-01535</t>
        </is>
      </c>
      <c r="B1505" t="inlineStr">
        <is>
          <t>CLI-00631</t>
        </is>
      </c>
      <c r="C1505" t="inlineStr">
        <is>
          <t>Île-de-France</t>
        </is>
      </c>
      <c r="D1505" t="inlineStr">
        <is>
          <t>materiel</t>
        </is>
      </c>
      <c r="E1505" t="inlineStr">
        <is>
          <t>crédit-bail</t>
        </is>
      </c>
      <c r="F1505" t="inlineStr">
        <is>
          <t>2026-01-20</t>
        </is>
      </c>
      <c r="G1505" s="4" t="n">
        <v>68977.85000000001</v>
      </c>
      <c r="H1505" s="4">
        <f>MAX(0,G1505-SUMIFS('Paiements contrat'!$B:$B,'Paiements contrat'!$A:$A,A1505))</f>
        <v/>
      </c>
      <c r="I1505" s="4" t="n">
        <v>67109.52</v>
      </c>
      <c r="J1505" t="inlineStr">
        <is>
          <t>actif</t>
        </is>
      </c>
    </row>
    <row r="1506">
      <c r="A1506" t="inlineStr">
        <is>
          <t>CTR-01536</t>
        </is>
      </c>
      <c r="B1506" t="inlineStr">
        <is>
          <t>CLI-01308</t>
        </is>
      </c>
      <c r="C1506" t="inlineStr">
        <is>
          <t>Île-de-France</t>
        </is>
      </c>
      <c r="D1506" t="inlineStr">
        <is>
          <t>materiel</t>
        </is>
      </c>
      <c r="E1506" t="inlineStr">
        <is>
          <t>crédit-bail</t>
        </is>
      </c>
      <c r="F1506" t="inlineStr">
        <is>
          <t>2025-03-11</t>
        </is>
      </c>
      <c r="G1506" s="4" t="n">
        <v>125106.11</v>
      </c>
      <c r="H1506" s="4">
        <f>MAX(0,G1506-SUMIFS('Paiements contrat'!$B:$B,'Paiements contrat'!$A:$A,A1506))</f>
        <v/>
      </c>
      <c r="I1506" s="4" t="n">
        <v>107409</v>
      </c>
      <c r="J1506" t="inlineStr">
        <is>
          <t>actif</t>
        </is>
      </c>
    </row>
    <row r="1507">
      <c r="A1507" t="inlineStr">
        <is>
          <t>CTR-01537</t>
        </is>
      </c>
      <c r="B1507" t="inlineStr">
        <is>
          <t>CLI-00147</t>
        </is>
      </c>
      <c r="C1507" t="inlineStr">
        <is>
          <t>Île-de-France</t>
        </is>
      </c>
      <c r="D1507" t="inlineStr">
        <is>
          <t>auto</t>
        </is>
      </c>
      <c r="E1507" t="inlineStr">
        <is>
          <t>LLD</t>
        </is>
      </c>
      <c r="F1507" t="inlineStr">
        <is>
          <t>2025-01-13</t>
        </is>
      </c>
      <c r="G1507" s="4" t="n">
        <v>56073.77</v>
      </c>
      <c r="H1507" s="4">
        <f>MAX(0,G1507-SUMIFS('Paiements contrat'!$B:$B,'Paiements contrat'!$A:$A,A1507))</f>
        <v/>
      </c>
      <c r="I1507" s="4" t="n">
        <v>42588.82999999999</v>
      </c>
      <c r="J1507" t="inlineStr">
        <is>
          <t>actif</t>
        </is>
      </c>
    </row>
    <row r="1508">
      <c r="A1508" t="inlineStr">
        <is>
          <t>CTR-01538</t>
        </is>
      </c>
      <c r="B1508" t="inlineStr">
        <is>
          <t>CLI-00504</t>
        </is>
      </c>
      <c r="C1508" t="inlineStr">
        <is>
          <t>Île-de-France</t>
        </is>
      </c>
      <c r="D1508" t="inlineStr">
        <is>
          <t>auto</t>
        </is>
      </c>
      <c r="E1508" t="inlineStr">
        <is>
          <t>LLD</t>
        </is>
      </c>
      <c r="F1508" t="inlineStr">
        <is>
          <t>2025-06-22</t>
        </is>
      </c>
      <c r="G1508" s="4" t="n">
        <v>56305.19</v>
      </c>
      <c r="H1508" s="4">
        <f>MAX(0,G1508-SUMIFS('Paiements contrat'!$B:$B,'Paiements contrat'!$A:$A,A1508))</f>
        <v/>
      </c>
      <c r="I1508" s="4" t="n">
        <v>47613.76</v>
      </c>
      <c r="J1508" t="inlineStr">
        <is>
          <t>actif</t>
        </is>
      </c>
    </row>
    <row r="1509">
      <c r="A1509" t="inlineStr">
        <is>
          <t>CTR-01539</t>
        </is>
      </c>
      <c r="B1509" t="inlineStr">
        <is>
          <t>CLI-00399</t>
        </is>
      </c>
      <c r="C1509" t="inlineStr">
        <is>
          <t>Île-de-France</t>
        </is>
      </c>
      <c r="D1509" t="inlineStr">
        <is>
          <t>auto</t>
        </is>
      </c>
      <c r="E1509" t="inlineStr">
        <is>
          <t>LOA</t>
        </is>
      </c>
      <c r="F1509" t="inlineStr">
        <is>
          <t>2026-03-13</t>
        </is>
      </c>
      <c r="G1509" s="4" t="n">
        <v>22637.01</v>
      </c>
      <c r="H1509" s="4">
        <f>MAX(0,G1509-SUMIFS('Paiements contrat'!$B:$B,'Paiements contrat'!$A:$A,A1509))</f>
        <v/>
      </c>
      <c r="I1509" s="4" t="n">
        <v>22637.01</v>
      </c>
      <c r="J1509" t="inlineStr">
        <is>
          <t>actif</t>
        </is>
      </c>
    </row>
    <row r="1510">
      <c r="A1510" t="inlineStr">
        <is>
          <t>CTR-01540</t>
        </is>
      </c>
      <c r="B1510" t="inlineStr">
        <is>
          <t>CLI-01445</t>
        </is>
      </c>
      <c r="C1510" t="inlineStr">
        <is>
          <t>Île-de-France</t>
        </is>
      </c>
      <c r="D1510" t="inlineStr">
        <is>
          <t>bateau</t>
        </is>
      </c>
      <c r="E1510" t="inlineStr">
        <is>
          <t>LOA</t>
        </is>
      </c>
      <c r="F1510" t="inlineStr">
        <is>
          <t>2024-06-08</t>
        </is>
      </c>
      <c r="G1510" s="4" t="n">
        <v>245032.29</v>
      </c>
      <c r="H1510" s="4">
        <f>MAX(0,G1510-SUMIFS('Paiements contrat'!$B:$B,'Paiements contrat'!$A:$A,A1510))</f>
        <v/>
      </c>
      <c r="I1510" s="4" t="n">
        <v>90394.41308685741</v>
      </c>
      <c r="J1510" t="inlineStr">
        <is>
          <t>actif</t>
        </is>
      </c>
    </row>
    <row r="1511">
      <c r="A1511" t="inlineStr">
        <is>
          <t>CTR-01541</t>
        </is>
      </c>
      <c r="B1511" t="inlineStr">
        <is>
          <t>CLI-00392</t>
        </is>
      </c>
      <c r="C1511" t="inlineStr">
        <is>
          <t>Guyane</t>
        </is>
      </c>
      <c r="D1511" t="inlineStr">
        <is>
          <t>auto</t>
        </is>
      </c>
      <c r="E1511" t="inlineStr">
        <is>
          <t>LOA</t>
        </is>
      </c>
      <c r="F1511" t="inlineStr">
        <is>
          <t>2025-09-24</t>
        </is>
      </c>
      <c r="G1511" s="4" t="n">
        <v>23399.69</v>
      </c>
      <c r="H1511" s="4">
        <f>MAX(0,G1511-SUMIFS('Paiements contrat'!$B:$B,'Paiements contrat'!$A:$A,A1511))</f>
        <v/>
      </c>
      <c r="I1511" s="4" t="n">
        <v>19653.13</v>
      </c>
      <c r="J1511" t="inlineStr">
        <is>
          <t>actif</t>
        </is>
      </c>
    </row>
    <row r="1512">
      <c r="A1512" t="inlineStr">
        <is>
          <t>CTR-01542</t>
        </is>
      </c>
      <c r="B1512" t="inlineStr">
        <is>
          <t>CLI-01454</t>
        </is>
      </c>
      <c r="C1512" t="inlineStr">
        <is>
          <t>Guyane</t>
        </is>
      </c>
      <c r="D1512" t="inlineStr">
        <is>
          <t>auto</t>
        </is>
      </c>
      <c r="E1512" t="inlineStr">
        <is>
          <t>LOA</t>
        </is>
      </c>
      <c r="F1512" t="inlineStr">
        <is>
          <t>2025-04-08</t>
        </is>
      </c>
      <c r="G1512" s="4" t="n">
        <v>22582.41</v>
      </c>
      <c r="H1512" s="4">
        <f>MAX(0,G1512-SUMIFS('Paiements contrat'!$B:$B,'Paiements contrat'!$A:$A,A1512))</f>
        <v/>
      </c>
      <c r="I1512" s="4" t="n">
        <v>17633.73</v>
      </c>
      <c r="J1512" t="inlineStr">
        <is>
          <t>actif</t>
        </is>
      </c>
    </row>
    <row r="1513">
      <c r="A1513" t="inlineStr">
        <is>
          <t>CTR-01543</t>
        </is>
      </c>
      <c r="B1513" t="inlineStr">
        <is>
          <t>CLI-00691</t>
        </is>
      </c>
      <c r="C1513" t="inlineStr">
        <is>
          <t>Guyane</t>
        </is>
      </c>
      <c r="D1513" t="inlineStr">
        <is>
          <t>auto</t>
        </is>
      </c>
      <c r="E1513" t="inlineStr">
        <is>
          <t>LLD</t>
        </is>
      </c>
      <c r="F1513" t="inlineStr">
        <is>
          <t>2025-10-08</t>
        </is>
      </c>
      <c r="G1513" s="4" t="n">
        <v>43363.35</v>
      </c>
      <c r="H1513" s="4">
        <f>MAX(0,G1513-SUMIFS('Paiements contrat'!$B:$B,'Paiements contrat'!$A:$A,A1513))</f>
        <v/>
      </c>
      <c r="I1513" s="4" t="n">
        <v>40911.95</v>
      </c>
      <c r="J1513" t="inlineStr">
        <is>
          <t>actif</t>
        </is>
      </c>
    </row>
    <row r="1514">
      <c r="A1514" t="inlineStr">
        <is>
          <t>CTR-01544</t>
        </is>
      </c>
      <c r="B1514" t="inlineStr">
        <is>
          <t>CLI-00094</t>
        </is>
      </c>
      <c r="C1514" t="inlineStr">
        <is>
          <t>Martinique</t>
        </is>
      </c>
      <c r="D1514" t="inlineStr">
        <is>
          <t>auto</t>
        </is>
      </c>
      <c r="E1514" t="inlineStr">
        <is>
          <t>LOA</t>
        </is>
      </c>
      <c r="F1514" t="inlineStr">
        <is>
          <t>2024-12-11</t>
        </is>
      </c>
      <c r="G1514" s="4" t="n">
        <v>44206.88</v>
      </c>
      <c r="H1514" s="4">
        <f>MAX(0,G1514-SUMIFS('Paiements contrat'!$B:$B,'Paiements contrat'!$A:$A,A1514))</f>
        <v/>
      </c>
      <c r="I1514" s="4" t="n">
        <v>23272.64</v>
      </c>
      <c r="J1514" t="inlineStr">
        <is>
          <t>actif</t>
        </is>
      </c>
    </row>
    <row r="1515">
      <c r="A1515" t="inlineStr">
        <is>
          <t>CTR-01545</t>
        </is>
      </c>
      <c r="B1515" t="inlineStr">
        <is>
          <t>CLI-00434</t>
        </is>
      </c>
      <c r="C1515" t="inlineStr">
        <is>
          <t>Réunion</t>
        </is>
      </c>
      <c r="D1515" t="inlineStr">
        <is>
          <t>auto</t>
        </is>
      </c>
      <c r="E1515" t="inlineStr">
        <is>
          <t>LLD</t>
        </is>
      </c>
      <c r="F1515" t="inlineStr">
        <is>
          <t>2025-11-12</t>
        </is>
      </c>
      <c r="G1515" s="4" t="n">
        <v>37932.09</v>
      </c>
      <c r="H1515" s="4">
        <f>MAX(0,G1515-SUMIFS('Paiements contrat'!$B:$B,'Paiements contrat'!$A:$A,A1515))</f>
        <v/>
      </c>
      <c r="I1515" s="4" t="n">
        <v>33453.03999999999</v>
      </c>
      <c r="J1515" t="inlineStr">
        <is>
          <t>actif</t>
        </is>
      </c>
    </row>
    <row r="1516">
      <c r="A1516" t="inlineStr">
        <is>
          <t>CTR-01546</t>
        </is>
      </c>
      <c r="B1516" t="inlineStr">
        <is>
          <t>CLI-01134</t>
        </is>
      </c>
      <c r="C1516" t="inlineStr">
        <is>
          <t>Île-de-France</t>
        </is>
      </c>
      <c r="D1516" t="inlineStr">
        <is>
          <t>auto</t>
        </is>
      </c>
      <c r="E1516" t="inlineStr">
        <is>
          <t>LOA</t>
        </is>
      </c>
      <c r="F1516" t="inlineStr">
        <is>
          <t>2025-02-27</t>
        </is>
      </c>
      <c r="G1516" s="4" t="n">
        <v>59519.38</v>
      </c>
      <c r="H1516" s="4">
        <f>MAX(0,G1516-SUMIFS('Paiements contrat'!$B:$B,'Paiements contrat'!$A:$A,A1516))</f>
        <v/>
      </c>
      <c r="I1516" s="4" t="n">
        <v>34760.69</v>
      </c>
      <c r="J1516" t="inlineStr">
        <is>
          <t>actif</t>
        </is>
      </c>
    </row>
    <row r="1517">
      <c r="A1517" t="inlineStr">
        <is>
          <t>CTR-01547</t>
        </is>
      </c>
      <c r="B1517" t="inlineStr">
        <is>
          <t>CLI-00759</t>
        </is>
      </c>
      <c r="C1517" t="inlineStr">
        <is>
          <t>Guadeloupe</t>
        </is>
      </c>
      <c r="D1517" t="inlineStr">
        <is>
          <t>auto</t>
        </is>
      </c>
      <c r="E1517" t="inlineStr">
        <is>
          <t>LOA</t>
        </is>
      </c>
      <c r="F1517" t="inlineStr">
        <is>
          <t>2024-07-27</t>
        </is>
      </c>
      <c r="G1517" s="4" t="n">
        <v>51786.04</v>
      </c>
      <c r="H1517" s="4">
        <f>MAX(0,G1517-SUMIFS('Paiements contrat'!$B:$B,'Paiements contrat'!$A:$A,A1517))</f>
        <v/>
      </c>
      <c r="I1517" s="4" t="n">
        <v>13179.32</v>
      </c>
      <c r="J1517" t="inlineStr">
        <is>
          <t>actif</t>
        </is>
      </c>
    </row>
    <row r="1518">
      <c r="A1518" t="inlineStr">
        <is>
          <t>CTR-01548</t>
        </is>
      </c>
      <c r="B1518" t="inlineStr">
        <is>
          <t>CLI-01277</t>
        </is>
      </c>
      <c r="C1518" t="inlineStr">
        <is>
          <t>Réunion</t>
        </is>
      </c>
      <c r="D1518" t="inlineStr">
        <is>
          <t>materiel</t>
        </is>
      </c>
      <c r="E1518" t="inlineStr">
        <is>
          <t>crédit-bail</t>
        </is>
      </c>
      <c r="F1518" t="inlineStr">
        <is>
          <t>2025-12-20</t>
        </is>
      </c>
      <c r="G1518" s="4" t="n">
        <v>159973.24</v>
      </c>
      <c r="H1518" s="4">
        <f>MAX(0,G1518-SUMIFS('Paiements contrat'!$B:$B,'Paiements contrat'!$A:$A,A1518))</f>
        <v/>
      </c>
      <c r="I1518" s="4" t="n">
        <v>141293.01</v>
      </c>
      <c r="J1518" t="inlineStr">
        <is>
          <t>actif</t>
        </is>
      </c>
    </row>
    <row r="1519">
      <c r="A1519" t="inlineStr">
        <is>
          <t>CTR-01549</t>
        </is>
      </c>
      <c r="B1519" t="inlineStr">
        <is>
          <t>CLI-01490</t>
        </is>
      </c>
      <c r="C1519" t="inlineStr">
        <is>
          <t>Guadeloupe</t>
        </is>
      </c>
      <c r="D1519" t="inlineStr">
        <is>
          <t>auto</t>
        </is>
      </c>
      <c r="E1519" t="inlineStr">
        <is>
          <t>LLD</t>
        </is>
      </c>
      <c r="F1519" t="inlineStr">
        <is>
          <t>2024-06-10</t>
        </is>
      </c>
      <c r="G1519" s="4" t="n">
        <v>50316.84</v>
      </c>
      <c r="H1519" s="4">
        <f>MAX(0,G1519-SUMIFS('Paiements contrat'!$B:$B,'Paiements contrat'!$A:$A,A1519))</f>
        <v/>
      </c>
      <c r="I1519" s="4" t="n">
        <v>8239.169999999998</v>
      </c>
      <c r="J1519" t="inlineStr">
        <is>
          <t>soldé</t>
        </is>
      </c>
    </row>
    <row r="1520">
      <c r="A1520" t="inlineStr">
        <is>
          <t>CTR-01550</t>
        </is>
      </c>
      <c r="B1520" t="inlineStr">
        <is>
          <t>CLI-00161</t>
        </is>
      </c>
      <c r="C1520" t="inlineStr">
        <is>
          <t>Guadeloupe</t>
        </is>
      </c>
      <c r="D1520" t="inlineStr">
        <is>
          <t>auto</t>
        </is>
      </c>
      <c r="E1520" t="inlineStr">
        <is>
          <t>LLD</t>
        </is>
      </c>
      <c r="F1520" t="inlineStr">
        <is>
          <t>2024-08-04</t>
        </is>
      </c>
      <c r="G1520" s="4" t="n">
        <v>14956.87</v>
      </c>
      <c r="H1520" s="4">
        <f>MAX(0,G1520-SUMIFS('Paiements contrat'!$B:$B,'Paiements contrat'!$A:$A,A1520))</f>
        <v/>
      </c>
      <c r="I1520" s="4" t="n">
        <v>4432.380000000001</v>
      </c>
      <c r="J1520" t="inlineStr">
        <is>
          <t>actif</t>
        </is>
      </c>
    </row>
    <row r="1521">
      <c r="A1521" t="inlineStr">
        <is>
          <t>CTR-01551</t>
        </is>
      </c>
      <c r="B1521" t="inlineStr">
        <is>
          <t>CLI-00313</t>
        </is>
      </c>
      <c r="C1521" t="inlineStr">
        <is>
          <t>Île-de-France</t>
        </is>
      </c>
      <c r="D1521" t="inlineStr">
        <is>
          <t>auto</t>
        </is>
      </c>
      <c r="E1521" t="inlineStr">
        <is>
          <t>LLD</t>
        </is>
      </c>
      <c r="F1521" t="inlineStr">
        <is>
          <t>2026-02-03</t>
        </is>
      </c>
      <c r="G1521" s="4" t="n">
        <v>65480.45</v>
      </c>
      <c r="H1521" s="4">
        <f>MAX(0,G1521-SUMIFS('Paiements contrat'!$B:$B,'Paiements contrat'!$A:$A,A1521))</f>
        <v/>
      </c>
      <c r="I1521" s="4" t="n">
        <v>63884.69</v>
      </c>
      <c r="J1521" t="inlineStr">
        <is>
          <t>actif</t>
        </is>
      </c>
    </row>
    <row r="1522">
      <c r="A1522" t="inlineStr">
        <is>
          <t>CTR-01552</t>
        </is>
      </c>
      <c r="B1522" t="inlineStr">
        <is>
          <t>CLI-00227</t>
        </is>
      </c>
      <c r="C1522" t="inlineStr">
        <is>
          <t>Île-de-France</t>
        </is>
      </c>
      <c r="D1522" t="inlineStr">
        <is>
          <t>auto</t>
        </is>
      </c>
      <c r="E1522" t="inlineStr">
        <is>
          <t>LOA</t>
        </is>
      </c>
      <c r="F1522" t="inlineStr">
        <is>
          <t>2024-12-25</t>
        </is>
      </c>
      <c r="G1522" s="4" t="n">
        <v>36254.9</v>
      </c>
      <c r="H1522" s="4">
        <f>MAX(0,G1522-SUMIFS('Paiements contrat'!$B:$B,'Paiements contrat'!$A:$A,A1522))</f>
        <v/>
      </c>
      <c r="I1522" s="4" t="n">
        <v>23741.01</v>
      </c>
      <c r="J1522" t="inlineStr">
        <is>
          <t>actif</t>
        </is>
      </c>
    </row>
    <row r="1523">
      <c r="A1523" t="inlineStr">
        <is>
          <t>CTR-01553</t>
        </is>
      </c>
      <c r="B1523" t="inlineStr">
        <is>
          <t>CLI-00611</t>
        </is>
      </c>
      <c r="C1523" t="inlineStr">
        <is>
          <t>Martinique</t>
        </is>
      </c>
      <c r="D1523" t="inlineStr">
        <is>
          <t>auto</t>
        </is>
      </c>
      <c r="E1523" t="inlineStr">
        <is>
          <t>LLD</t>
        </is>
      </c>
      <c r="F1523" t="inlineStr">
        <is>
          <t>2026-02-15</t>
        </is>
      </c>
      <c r="G1523" s="4" t="n">
        <v>25243.76</v>
      </c>
      <c r="H1523" s="4">
        <f>MAX(0,G1523-SUMIFS('Paiements contrat'!$B:$B,'Paiements contrat'!$A:$A,A1523))</f>
        <v/>
      </c>
      <c r="I1523" s="4" t="n">
        <v>24782.35</v>
      </c>
      <c r="J1523" t="inlineStr">
        <is>
          <t>actif</t>
        </is>
      </c>
    </row>
    <row r="1524">
      <c r="A1524" t="inlineStr">
        <is>
          <t>CTR-01554</t>
        </is>
      </c>
      <c r="B1524" t="inlineStr">
        <is>
          <t>CLI-00303</t>
        </is>
      </c>
      <c r="C1524" t="inlineStr">
        <is>
          <t>Réunion</t>
        </is>
      </c>
      <c r="D1524" t="inlineStr">
        <is>
          <t>auto</t>
        </is>
      </c>
      <c r="E1524" t="inlineStr">
        <is>
          <t>LOA</t>
        </is>
      </c>
      <c r="F1524" t="inlineStr">
        <is>
          <t>2025-01-26</t>
        </is>
      </c>
      <c r="G1524" s="4" t="n">
        <v>39432.95</v>
      </c>
      <c r="H1524" s="4">
        <f>MAX(0,G1524-SUMIFS('Paiements contrat'!$B:$B,'Paiements contrat'!$A:$A,A1524))</f>
        <v/>
      </c>
      <c r="I1524" s="4" t="n">
        <v>26709.94</v>
      </c>
      <c r="J1524" t="inlineStr">
        <is>
          <t>actif</t>
        </is>
      </c>
    </row>
    <row r="1525">
      <c r="A1525" t="inlineStr">
        <is>
          <t>CTR-01555</t>
        </is>
      </c>
      <c r="B1525" t="inlineStr">
        <is>
          <t>CLI-00452</t>
        </is>
      </c>
      <c r="C1525" t="inlineStr">
        <is>
          <t>Martinique</t>
        </is>
      </c>
      <c r="D1525" t="inlineStr">
        <is>
          <t>auto</t>
        </is>
      </c>
      <c r="E1525" t="inlineStr">
        <is>
          <t>LOA</t>
        </is>
      </c>
      <c r="F1525" t="inlineStr">
        <is>
          <t>2024-05-08</t>
        </is>
      </c>
      <c r="G1525" s="4" t="n">
        <v>61103.06</v>
      </c>
      <c r="H1525" s="4">
        <f>MAX(0,G1525-SUMIFS('Paiements contrat'!$B:$B,'Paiements contrat'!$A:$A,A1525))</f>
        <v/>
      </c>
      <c r="I1525" s="4" t="n">
        <v>12845.98</v>
      </c>
      <c r="J1525" t="inlineStr">
        <is>
          <t>actif</t>
        </is>
      </c>
    </row>
    <row r="1526">
      <c r="A1526" t="inlineStr">
        <is>
          <t>CTR-01556</t>
        </is>
      </c>
      <c r="B1526" t="inlineStr">
        <is>
          <t>CLI-00176</t>
        </is>
      </c>
      <c r="C1526" t="inlineStr">
        <is>
          <t>Île-de-France</t>
        </is>
      </c>
      <c r="D1526" t="inlineStr">
        <is>
          <t>auto</t>
        </is>
      </c>
      <c r="E1526" t="inlineStr">
        <is>
          <t>LLD</t>
        </is>
      </c>
      <c r="F1526" t="inlineStr">
        <is>
          <t>2024-10-08</t>
        </is>
      </c>
      <c r="G1526" s="4" t="n">
        <v>20902.76</v>
      </c>
      <c r="H1526" s="4">
        <f>MAX(0,G1526-SUMIFS('Paiements contrat'!$B:$B,'Paiements contrat'!$A:$A,A1526))</f>
        <v/>
      </c>
      <c r="I1526" s="4" t="n">
        <v>12126.89</v>
      </c>
      <c r="J1526" t="inlineStr">
        <is>
          <t>actif</t>
        </is>
      </c>
    </row>
    <row r="1527">
      <c r="A1527" t="inlineStr">
        <is>
          <t>CTR-01557</t>
        </is>
      </c>
      <c r="B1527" t="inlineStr">
        <is>
          <t>CLI-01274</t>
        </is>
      </c>
      <c r="C1527" t="inlineStr">
        <is>
          <t>Guadeloupe</t>
        </is>
      </c>
      <c r="D1527" t="inlineStr">
        <is>
          <t>auto</t>
        </is>
      </c>
      <c r="E1527" t="inlineStr">
        <is>
          <t>LOA</t>
        </is>
      </c>
      <c r="F1527" t="inlineStr">
        <is>
          <t>2025-08-02</t>
        </is>
      </c>
      <c r="G1527" s="4" t="n">
        <v>54303.44</v>
      </c>
      <c r="H1527" s="4">
        <f>MAX(0,G1527-SUMIFS('Paiements contrat'!$B:$B,'Paiements contrat'!$A:$A,A1527))</f>
        <v/>
      </c>
      <c r="I1527" s="4" t="n">
        <v>48517.43</v>
      </c>
      <c r="J1527" t="inlineStr">
        <is>
          <t>actif</t>
        </is>
      </c>
    </row>
    <row r="1528">
      <c r="A1528" t="inlineStr">
        <is>
          <t>CTR-01558</t>
        </is>
      </c>
      <c r="B1528" t="inlineStr">
        <is>
          <t>CLI-00941</t>
        </is>
      </c>
      <c r="C1528" t="inlineStr">
        <is>
          <t>Réunion</t>
        </is>
      </c>
      <c r="D1528" t="inlineStr">
        <is>
          <t>auto</t>
        </is>
      </c>
      <c r="E1528" t="inlineStr">
        <is>
          <t>LOA</t>
        </is>
      </c>
      <c r="F1528" t="inlineStr">
        <is>
          <t>2025-02-24</t>
        </is>
      </c>
      <c r="G1528" s="4" t="n">
        <v>25594.47</v>
      </c>
      <c r="H1528" s="4">
        <f>MAX(0,G1528-SUMIFS('Paiements contrat'!$B:$B,'Paiements contrat'!$A:$A,A1528))</f>
        <v/>
      </c>
      <c r="I1528" s="4" t="n">
        <v>19888.10368950555</v>
      </c>
      <c r="J1528" t="inlineStr">
        <is>
          <t>actif</t>
        </is>
      </c>
    </row>
    <row r="1529">
      <c r="A1529" t="inlineStr">
        <is>
          <t>CTR-01559</t>
        </is>
      </c>
      <c r="B1529" t="inlineStr">
        <is>
          <t>CLI-01480</t>
        </is>
      </c>
      <c r="C1529" t="inlineStr">
        <is>
          <t>Île-de-France</t>
        </is>
      </c>
      <c r="D1529" t="inlineStr">
        <is>
          <t>auto</t>
        </is>
      </c>
      <c r="E1529" t="inlineStr">
        <is>
          <t>LLD</t>
        </is>
      </c>
      <c r="F1529" t="inlineStr">
        <is>
          <t>2024-12-15</t>
        </is>
      </c>
      <c r="G1529" s="4" t="n">
        <v>61736.07</v>
      </c>
      <c r="H1529" s="4">
        <f>MAX(0,G1529-SUMIFS('Paiements contrat'!$B:$B,'Paiements contrat'!$A:$A,A1529))</f>
        <v/>
      </c>
      <c r="I1529" s="4" t="n">
        <v>30519.87677735981</v>
      </c>
      <c r="J1529" t="inlineStr">
        <is>
          <t>actif</t>
        </is>
      </c>
    </row>
    <row r="1530">
      <c r="A1530" t="inlineStr">
        <is>
          <t>CTR-01560</t>
        </is>
      </c>
      <c r="B1530" t="inlineStr">
        <is>
          <t>CLI-01231</t>
        </is>
      </c>
      <c r="C1530" t="inlineStr">
        <is>
          <t>Île-de-France</t>
        </is>
      </c>
      <c r="D1530" t="inlineStr">
        <is>
          <t>auto</t>
        </is>
      </c>
      <c r="E1530" t="inlineStr">
        <is>
          <t>LLD</t>
        </is>
      </c>
      <c r="F1530" t="inlineStr">
        <is>
          <t>2024-04-17</t>
        </is>
      </c>
      <c r="G1530" s="4" t="n">
        <v>54396.89</v>
      </c>
      <c r="H1530" s="4">
        <f>MAX(0,G1530-SUMIFS('Paiements contrat'!$B:$B,'Paiements contrat'!$A:$A,A1530))</f>
        <v/>
      </c>
      <c r="I1530" s="4" t="n">
        <v>24001.05431650666</v>
      </c>
      <c r="J1530" t="inlineStr">
        <is>
          <t>contentieux</t>
        </is>
      </c>
    </row>
    <row r="1531">
      <c r="A1531" t="inlineStr">
        <is>
          <t>CTR-01561</t>
        </is>
      </c>
      <c r="B1531" t="inlineStr">
        <is>
          <t>CLI-01270</t>
        </is>
      </c>
      <c r="C1531" t="inlineStr">
        <is>
          <t>Martinique</t>
        </is>
      </c>
      <c r="D1531" t="inlineStr">
        <is>
          <t>auto</t>
        </is>
      </c>
      <c r="E1531" t="inlineStr">
        <is>
          <t>LOA</t>
        </is>
      </c>
      <c r="F1531" t="inlineStr">
        <is>
          <t>2025-08-09</t>
        </is>
      </c>
      <c r="G1531" s="4" t="n">
        <v>59566.62</v>
      </c>
      <c r="H1531" s="4">
        <f>MAX(0,G1531-SUMIFS('Paiements contrat'!$B:$B,'Paiements contrat'!$A:$A,A1531))</f>
        <v/>
      </c>
      <c r="I1531" s="4" t="n">
        <v>46547.36</v>
      </c>
      <c r="J1531" t="inlineStr">
        <is>
          <t>actif</t>
        </is>
      </c>
    </row>
    <row r="1532">
      <c r="A1532" t="inlineStr">
        <is>
          <t>CTR-01562</t>
        </is>
      </c>
      <c r="B1532" t="inlineStr">
        <is>
          <t>CLI-00065</t>
        </is>
      </c>
      <c r="C1532" t="inlineStr">
        <is>
          <t>Île-de-France</t>
        </is>
      </c>
      <c r="D1532" t="inlineStr">
        <is>
          <t>auto</t>
        </is>
      </c>
      <c r="E1532" t="inlineStr">
        <is>
          <t>LLD</t>
        </is>
      </c>
      <c r="F1532" t="inlineStr">
        <is>
          <t>2024-09-05</t>
        </is>
      </c>
      <c r="G1532" s="4" t="n">
        <v>26853.79</v>
      </c>
      <c r="H1532" s="4">
        <f>MAX(0,G1532-SUMIFS('Paiements contrat'!$B:$B,'Paiements contrat'!$A:$A,A1532))</f>
        <v/>
      </c>
      <c r="I1532" s="4" t="n">
        <v>9219.920000000002</v>
      </c>
      <c r="J1532" t="inlineStr">
        <is>
          <t>actif</t>
        </is>
      </c>
    </row>
    <row r="1533">
      <c r="A1533" t="inlineStr">
        <is>
          <t>CTR-01563</t>
        </is>
      </c>
      <c r="B1533" t="inlineStr">
        <is>
          <t>CLI-01304</t>
        </is>
      </c>
      <c r="C1533" t="inlineStr">
        <is>
          <t>Réunion</t>
        </is>
      </c>
      <c r="D1533" t="inlineStr">
        <is>
          <t>auto</t>
        </is>
      </c>
      <c r="E1533" t="inlineStr">
        <is>
          <t>LOA</t>
        </is>
      </c>
      <c r="F1533" t="inlineStr">
        <is>
          <t>2025-05-14</t>
        </is>
      </c>
      <c r="G1533" s="4" t="n">
        <v>34195.65</v>
      </c>
      <c r="H1533" s="4">
        <f>MAX(0,G1533-SUMIFS('Paiements contrat'!$B:$B,'Paiements contrat'!$A:$A,A1533))</f>
        <v/>
      </c>
      <c r="I1533" s="4" t="n">
        <v>28787.96</v>
      </c>
      <c r="J1533" t="inlineStr">
        <is>
          <t>actif</t>
        </is>
      </c>
    </row>
    <row r="1534">
      <c r="A1534" t="inlineStr">
        <is>
          <t>CTR-01564</t>
        </is>
      </c>
      <c r="B1534" t="inlineStr">
        <is>
          <t>CLI-01153</t>
        </is>
      </c>
      <c r="C1534" t="inlineStr">
        <is>
          <t>Île-de-France</t>
        </is>
      </c>
      <c r="D1534" t="inlineStr">
        <is>
          <t>auto</t>
        </is>
      </c>
      <c r="E1534" t="inlineStr">
        <is>
          <t>LOA</t>
        </is>
      </c>
      <c r="F1534" t="inlineStr">
        <is>
          <t>2024-10-11</t>
        </is>
      </c>
      <c r="G1534" s="4" t="n">
        <v>13909.74</v>
      </c>
      <c r="H1534" s="4">
        <f>MAX(0,G1534-SUMIFS('Paiements contrat'!$B:$B,'Paiements contrat'!$A:$A,A1534))</f>
        <v/>
      </c>
      <c r="I1534" s="4" t="n">
        <v>5352.91</v>
      </c>
      <c r="J1534" t="inlineStr">
        <is>
          <t>actif</t>
        </is>
      </c>
    </row>
    <row r="1535">
      <c r="A1535" t="inlineStr">
        <is>
          <t>CTR-01565</t>
        </is>
      </c>
      <c r="B1535" t="inlineStr">
        <is>
          <t>CLI-01146</t>
        </is>
      </c>
      <c r="C1535" t="inlineStr">
        <is>
          <t>Guadeloupe</t>
        </is>
      </c>
      <c r="D1535" t="inlineStr">
        <is>
          <t>materiel</t>
        </is>
      </c>
      <c r="E1535" t="inlineStr">
        <is>
          <t>crédit-bail</t>
        </is>
      </c>
      <c r="F1535" t="inlineStr">
        <is>
          <t>2025-03-04</t>
        </is>
      </c>
      <c r="G1535" s="4" t="n">
        <v>14848.44</v>
      </c>
      <c r="H1535" s="4">
        <f>MAX(0,G1535-SUMIFS('Paiements contrat'!$B:$B,'Paiements contrat'!$A:$A,A1535))</f>
        <v/>
      </c>
      <c r="I1535" s="4" t="n">
        <v>11686.2</v>
      </c>
      <c r="J1535" t="inlineStr">
        <is>
          <t>actif</t>
        </is>
      </c>
    </row>
    <row r="1536">
      <c r="A1536" t="inlineStr">
        <is>
          <t>CTR-01566</t>
        </is>
      </c>
      <c r="B1536" t="inlineStr">
        <is>
          <t>CLI-01270</t>
        </is>
      </c>
      <c r="C1536" t="inlineStr">
        <is>
          <t>Martinique</t>
        </is>
      </c>
      <c r="D1536" t="inlineStr">
        <is>
          <t>materiel</t>
        </is>
      </c>
      <c r="E1536" t="inlineStr">
        <is>
          <t>crédit-bail</t>
        </is>
      </c>
      <c r="F1536" t="inlineStr">
        <is>
          <t>2024-12-09</t>
        </is>
      </c>
      <c r="G1536" s="4" t="n">
        <v>44980.11</v>
      </c>
      <c r="H1536" s="4">
        <f>MAX(0,G1536-SUMIFS('Paiements contrat'!$B:$B,'Paiements contrat'!$A:$A,A1536))</f>
        <v/>
      </c>
      <c r="I1536" s="4" t="n">
        <v>29996.01194751674</v>
      </c>
      <c r="J1536" t="inlineStr">
        <is>
          <t>actif</t>
        </is>
      </c>
    </row>
    <row r="1537">
      <c r="A1537" t="inlineStr">
        <is>
          <t>CTR-01567</t>
        </is>
      </c>
      <c r="B1537" t="inlineStr">
        <is>
          <t>CLI-00855</t>
        </is>
      </c>
      <c r="C1537" t="inlineStr">
        <is>
          <t>Martinique</t>
        </is>
      </c>
      <c r="D1537" t="inlineStr">
        <is>
          <t>auto</t>
        </is>
      </c>
      <c r="E1537" t="inlineStr">
        <is>
          <t>LOA</t>
        </is>
      </c>
      <c r="F1537" t="inlineStr">
        <is>
          <t>2025-01-11</t>
        </is>
      </c>
      <c r="G1537" s="4" t="n">
        <v>29589.48</v>
      </c>
      <c r="H1537" s="4">
        <f>MAX(0,G1537-SUMIFS('Paiements contrat'!$B:$B,'Paiements contrat'!$A:$A,A1537))</f>
        <v/>
      </c>
      <c r="I1537" s="4" t="n">
        <v>17424.67</v>
      </c>
      <c r="J1537" t="inlineStr">
        <is>
          <t>actif</t>
        </is>
      </c>
    </row>
    <row r="1538">
      <c r="A1538" t="inlineStr">
        <is>
          <t>CTR-01568</t>
        </is>
      </c>
      <c r="B1538" t="inlineStr">
        <is>
          <t>CLI-00210</t>
        </is>
      </c>
      <c r="C1538" t="inlineStr">
        <is>
          <t>Guadeloupe</t>
        </is>
      </c>
      <c r="D1538" t="inlineStr">
        <is>
          <t>auto</t>
        </is>
      </c>
      <c r="E1538" t="inlineStr">
        <is>
          <t>LOA</t>
        </is>
      </c>
      <c r="F1538" t="inlineStr">
        <is>
          <t>2025-06-24</t>
        </is>
      </c>
      <c r="G1538" s="4" t="n">
        <v>11799.92</v>
      </c>
      <c r="H1538" s="4">
        <f>MAX(0,G1538-SUMIFS('Paiements contrat'!$B:$B,'Paiements contrat'!$A:$A,A1538))</f>
        <v/>
      </c>
      <c r="I1538" s="4" t="n">
        <v>10072.17</v>
      </c>
      <c r="J1538" t="inlineStr">
        <is>
          <t>actif</t>
        </is>
      </c>
    </row>
    <row r="1539">
      <c r="A1539" t="inlineStr">
        <is>
          <t>CTR-01569</t>
        </is>
      </c>
      <c r="B1539" t="inlineStr">
        <is>
          <t>CLI-00726</t>
        </is>
      </c>
      <c r="C1539" t="inlineStr">
        <is>
          <t>Île-de-France</t>
        </is>
      </c>
      <c r="D1539" t="inlineStr">
        <is>
          <t>bateau</t>
        </is>
      </c>
      <c r="E1539" t="inlineStr">
        <is>
          <t>LOA</t>
        </is>
      </c>
      <c r="F1539" t="inlineStr">
        <is>
          <t>2025-01-09</t>
        </is>
      </c>
      <c r="G1539" s="4" t="n">
        <v>112916.74</v>
      </c>
      <c r="H1539" s="4">
        <f>MAX(0,G1539-SUMIFS('Paiements contrat'!$B:$B,'Paiements contrat'!$A:$A,A1539))</f>
        <v/>
      </c>
      <c r="I1539" s="4" t="n">
        <v>49479.02</v>
      </c>
      <c r="J1539" t="inlineStr">
        <is>
          <t>actif</t>
        </is>
      </c>
    </row>
    <row r="1540">
      <c r="A1540" t="inlineStr">
        <is>
          <t>CTR-01570</t>
        </is>
      </c>
      <c r="B1540" t="inlineStr">
        <is>
          <t>CLI-01205</t>
        </is>
      </c>
      <c r="C1540" t="inlineStr">
        <is>
          <t>Île-de-France</t>
        </is>
      </c>
      <c r="D1540" t="inlineStr">
        <is>
          <t>materiel</t>
        </is>
      </c>
      <c r="E1540" t="inlineStr">
        <is>
          <t>crédit-bail</t>
        </is>
      </c>
      <c r="F1540" t="inlineStr">
        <is>
          <t>2024-05-18</t>
        </is>
      </c>
      <c r="G1540" s="4" t="n">
        <v>95147.57000000001</v>
      </c>
      <c r="H1540" s="4">
        <f>MAX(0,G1540-SUMIFS('Paiements contrat'!$B:$B,'Paiements contrat'!$A:$A,A1540))</f>
        <v/>
      </c>
      <c r="I1540" s="4" t="n">
        <v>55274.21000000001</v>
      </c>
      <c r="J1540" t="inlineStr">
        <is>
          <t>actif</t>
        </is>
      </c>
    </row>
    <row r="1541">
      <c r="A1541" t="inlineStr">
        <is>
          <t>CTR-01571</t>
        </is>
      </c>
      <c r="B1541" t="inlineStr">
        <is>
          <t>CLI-00164</t>
        </is>
      </c>
      <c r="C1541" t="inlineStr">
        <is>
          <t>Île-de-France</t>
        </is>
      </c>
      <c r="D1541" t="inlineStr">
        <is>
          <t>auto</t>
        </is>
      </c>
      <c r="E1541" t="inlineStr">
        <is>
          <t>LOA</t>
        </is>
      </c>
      <c r="F1541" t="inlineStr">
        <is>
          <t>2024-10-06</t>
        </is>
      </c>
      <c r="G1541" s="4" t="n">
        <v>42994.4</v>
      </c>
      <c r="H1541" s="4">
        <f>MAX(0,G1541-SUMIFS('Paiements contrat'!$B:$B,'Paiements contrat'!$A:$A,A1541))</f>
        <v/>
      </c>
      <c r="I1541" s="4" t="n">
        <v>25814.24</v>
      </c>
      <c r="J1541" t="inlineStr">
        <is>
          <t>actif</t>
        </is>
      </c>
    </row>
    <row r="1542">
      <c r="A1542" t="inlineStr">
        <is>
          <t>CTR-01572</t>
        </is>
      </c>
      <c r="B1542" t="inlineStr">
        <is>
          <t>CLI-00889</t>
        </is>
      </c>
      <c r="C1542" t="inlineStr">
        <is>
          <t>Guyane</t>
        </is>
      </c>
      <c r="D1542" t="inlineStr">
        <is>
          <t>materiel</t>
        </is>
      </c>
      <c r="E1542" t="inlineStr">
        <is>
          <t>crédit-bail</t>
        </is>
      </c>
      <c r="F1542" t="inlineStr">
        <is>
          <t>2025-04-27</t>
        </is>
      </c>
      <c r="G1542" s="4" t="n">
        <v>175265.52</v>
      </c>
      <c r="H1542" s="4">
        <f>MAX(0,G1542-SUMIFS('Paiements contrat'!$B:$B,'Paiements contrat'!$A:$A,A1542))</f>
        <v/>
      </c>
      <c r="I1542" s="4" t="n">
        <v>119538.4</v>
      </c>
      <c r="J1542" t="inlineStr">
        <is>
          <t>actif</t>
        </is>
      </c>
    </row>
    <row r="1543">
      <c r="A1543" t="inlineStr">
        <is>
          <t>CTR-01573</t>
        </is>
      </c>
      <c r="B1543" t="inlineStr">
        <is>
          <t>CLI-00075</t>
        </is>
      </c>
      <c r="C1543" t="inlineStr">
        <is>
          <t>Guadeloupe</t>
        </is>
      </c>
      <c r="D1543" t="inlineStr">
        <is>
          <t>auto</t>
        </is>
      </c>
      <c r="E1543" t="inlineStr">
        <is>
          <t>LLD</t>
        </is>
      </c>
      <c r="F1543" t="inlineStr">
        <is>
          <t>2024-10-04</t>
        </is>
      </c>
      <c r="G1543" s="4" t="n">
        <v>23927.82</v>
      </c>
      <c r="H1543" s="4">
        <f>MAX(0,G1543-SUMIFS('Paiements contrat'!$B:$B,'Paiements contrat'!$A:$A,A1543))</f>
        <v/>
      </c>
      <c r="I1543" s="4" t="n">
        <v>10116.22</v>
      </c>
      <c r="J1543" t="inlineStr">
        <is>
          <t>actif</t>
        </is>
      </c>
    </row>
    <row r="1544">
      <c r="A1544" t="inlineStr">
        <is>
          <t>CTR-01574</t>
        </is>
      </c>
      <c r="B1544" t="inlineStr">
        <is>
          <t>CLI-01184</t>
        </is>
      </c>
      <c r="C1544" t="inlineStr">
        <is>
          <t>Guyane</t>
        </is>
      </c>
      <c r="D1544" t="inlineStr">
        <is>
          <t>auto</t>
        </is>
      </c>
      <c r="E1544" t="inlineStr">
        <is>
          <t>LOA</t>
        </is>
      </c>
      <c r="F1544" t="inlineStr">
        <is>
          <t>2025-08-04</t>
        </is>
      </c>
      <c r="G1544" s="4" t="n">
        <v>33307.84</v>
      </c>
      <c r="H1544" s="4">
        <f>MAX(0,G1544-SUMIFS('Paiements contrat'!$B:$B,'Paiements contrat'!$A:$A,A1544))</f>
        <v/>
      </c>
      <c r="I1544" s="4" t="n">
        <v>23806.93</v>
      </c>
      <c r="J1544" t="inlineStr">
        <is>
          <t>actif</t>
        </is>
      </c>
    </row>
    <row r="1545">
      <c r="A1545" t="inlineStr">
        <is>
          <t>CTR-01575</t>
        </is>
      </c>
      <c r="B1545" t="inlineStr">
        <is>
          <t>CLI-00999</t>
        </is>
      </c>
      <c r="C1545" t="inlineStr">
        <is>
          <t>Réunion</t>
        </is>
      </c>
      <c r="D1545" t="inlineStr">
        <is>
          <t>auto</t>
        </is>
      </c>
      <c r="E1545" t="inlineStr">
        <is>
          <t>LLD</t>
        </is>
      </c>
      <c r="F1545" t="inlineStr">
        <is>
          <t>2024-08-04</t>
        </is>
      </c>
      <c r="G1545" s="4" t="n">
        <v>9809.92</v>
      </c>
      <c r="H1545" s="4">
        <f>MAX(0,G1545-SUMIFS('Paiements contrat'!$B:$B,'Paiements contrat'!$A:$A,A1545))</f>
        <v/>
      </c>
      <c r="I1545" s="4" t="n">
        <v>6638.475381079543</v>
      </c>
      <c r="J1545" t="inlineStr">
        <is>
          <t>actif</t>
        </is>
      </c>
    </row>
    <row r="1546">
      <c r="A1546" t="inlineStr">
        <is>
          <t>CTR-01576</t>
        </is>
      </c>
      <c r="B1546" t="inlineStr">
        <is>
          <t>CLI-00232</t>
        </is>
      </c>
      <c r="C1546" t="inlineStr">
        <is>
          <t>Île-de-France</t>
        </is>
      </c>
      <c r="D1546" t="inlineStr">
        <is>
          <t>materiel</t>
        </is>
      </c>
      <c r="E1546" t="inlineStr">
        <is>
          <t>crédit-bail</t>
        </is>
      </c>
      <c r="F1546" t="inlineStr">
        <is>
          <t>2024-09-25</t>
        </is>
      </c>
      <c r="G1546" s="4" t="n">
        <v>70724.49000000001</v>
      </c>
      <c r="H1546" s="4">
        <f>MAX(0,G1546-SUMIFS('Paiements contrat'!$B:$B,'Paiements contrat'!$A:$A,A1546))</f>
        <v/>
      </c>
      <c r="I1546" s="4" t="n">
        <v>42806.26000000001</v>
      </c>
      <c r="J1546" t="inlineStr">
        <is>
          <t>actif</t>
        </is>
      </c>
    </row>
    <row r="1547">
      <c r="A1547" t="inlineStr">
        <is>
          <t>CTR-01577</t>
        </is>
      </c>
      <c r="B1547" t="inlineStr">
        <is>
          <t>CLI-01409</t>
        </is>
      </c>
      <c r="C1547" t="inlineStr">
        <is>
          <t>Île-de-France</t>
        </is>
      </c>
      <c r="D1547" t="inlineStr">
        <is>
          <t>materiel</t>
        </is>
      </c>
      <c r="E1547" t="inlineStr">
        <is>
          <t>crédit-bail</t>
        </is>
      </c>
      <c r="F1547" t="inlineStr">
        <is>
          <t>2025-12-10</t>
        </is>
      </c>
      <c r="G1547" s="4" t="n">
        <v>11851.14</v>
      </c>
      <c r="H1547" s="4">
        <f>MAX(0,G1547-SUMIFS('Paiements contrat'!$B:$B,'Paiements contrat'!$A:$A,A1547))</f>
        <v/>
      </c>
      <c r="I1547" s="4" t="n">
        <v>9909.24</v>
      </c>
      <c r="J1547" t="inlineStr">
        <is>
          <t>actif</t>
        </is>
      </c>
    </row>
    <row r="1548">
      <c r="A1548" t="inlineStr">
        <is>
          <t>CTR-01578</t>
        </is>
      </c>
      <c r="B1548" t="inlineStr">
        <is>
          <t>CLI-01382</t>
        </is>
      </c>
      <c r="C1548" t="inlineStr">
        <is>
          <t>Martinique</t>
        </is>
      </c>
      <c r="D1548" t="inlineStr">
        <is>
          <t>bateau</t>
        </is>
      </c>
      <c r="E1548" t="inlineStr">
        <is>
          <t>LOA</t>
        </is>
      </c>
      <c r="F1548" t="inlineStr">
        <is>
          <t>2024-04-04</t>
        </is>
      </c>
      <c r="G1548" s="4" t="n">
        <v>192970.31</v>
      </c>
      <c r="H1548" s="4">
        <f>MAX(0,G1548-SUMIFS('Paiements contrat'!$B:$B,'Paiements contrat'!$A:$A,A1548))</f>
        <v/>
      </c>
      <c r="I1548" s="4" t="n">
        <v>111988.8230448247</v>
      </c>
      <c r="J1548" t="inlineStr">
        <is>
          <t>actif</t>
        </is>
      </c>
    </row>
    <row r="1549">
      <c r="A1549" t="inlineStr">
        <is>
          <t>CTR-01579</t>
        </is>
      </c>
      <c r="B1549" t="inlineStr">
        <is>
          <t>CLI-00328</t>
        </is>
      </c>
      <c r="C1549" t="inlineStr">
        <is>
          <t>Île-de-France</t>
        </is>
      </c>
      <c r="D1549" t="inlineStr">
        <is>
          <t>auto</t>
        </is>
      </c>
      <c r="E1549" t="inlineStr">
        <is>
          <t>LOA</t>
        </is>
      </c>
      <c r="F1549" t="inlineStr">
        <is>
          <t>2026-02-13</t>
        </is>
      </c>
      <c r="G1549" s="4" t="n">
        <v>27439.56</v>
      </c>
      <c r="H1549" s="4">
        <f>MAX(0,G1549-SUMIFS('Paiements contrat'!$B:$B,'Paiements contrat'!$A:$A,A1549))</f>
        <v/>
      </c>
      <c r="I1549" s="4" t="n">
        <v>26618.63</v>
      </c>
      <c r="J1549" t="inlineStr">
        <is>
          <t>actif</t>
        </is>
      </c>
    </row>
    <row r="1550">
      <c r="A1550" t="inlineStr">
        <is>
          <t>CTR-01581</t>
        </is>
      </c>
      <c r="B1550" t="inlineStr">
        <is>
          <t>CLI-00625</t>
        </is>
      </c>
      <c r="C1550" t="inlineStr">
        <is>
          <t>Martinique</t>
        </is>
      </c>
      <c r="D1550" t="inlineStr">
        <is>
          <t>auto</t>
        </is>
      </c>
      <c r="E1550" t="inlineStr">
        <is>
          <t>LOA</t>
        </is>
      </c>
      <c r="F1550" t="inlineStr">
        <is>
          <t>2025-05-19</t>
        </is>
      </c>
      <c r="G1550" s="4" t="n">
        <v>29938.31</v>
      </c>
      <c r="H1550" s="4">
        <f>MAX(0,G1550-SUMIFS('Paiements contrat'!$B:$B,'Paiements contrat'!$A:$A,A1550))</f>
        <v/>
      </c>
      <c r="I1550" s="4" t="n">
        <v>25784.33</v>
      </c>
      <c r="J1550" t="inlineStr">
        <is>
          <t>actif</t>
        </is>
      </c>
    </row>
    <row r="1551">
      <c r="A1551" t="inlineStr">
        <is>
          <t>CTR-01582</t>
        </is>
      </c>
      <c r="B1551" t="inlineStr">
        <is>
          <t>CLI-01481</t>
        </is>
      </c>
      <c r="C1551" t="inlineStr">
        <is>
          <t>Île-de-France</t>
        </is>
      </c>
      <c r="D1551" t="inlineStr">
        <is>
          <t>auto</t>
        </is>
      </c>
      <c r="E1551" t="inlineStr">
        <is>
          <t>LOA</t>
        </is>
      </c>
      <c r="F1551" t="inlineStr">
        <is>
          <t>2025-04-20</t>
        </is>
      </c>
      <c r="G1551" s="4" t="n">
        <v>14713.24</v>
      </c>
      <c r="H1551" s="4">
        <f>MAX(0,G1551-SUMIFS('Paiements contrat'!$B:$B,'Paiements contrat'!$A:$A,A1551))</f>
        <v/>
      </c>
      <c r="I1551" s="4" t="n">
        <v>8801.950000000001</v>
      </c>
      <c r="J1551" t="inlineStr">
        <is>
          <t>actif</t>
        </is>
      </c>
    </row>
    <row r="1552">
      <c r="A1552" t="inlineStr">
        <is>
          <t>CTR-01583</t>
        </is>
      </c>
      <c r="B1552" t="inlineStr">
        <is>
          <t>CLI-00159</t>
        </is>
      </c>
      <c r="C1552" t="inlineStr">
        <is>
          <t>Île-de-France</t>
        </is>
      </c>
      <c r="D1552" t="inlineStr">
        <is>
          <t>auto</t>
        </is>
      </c>
      <c r="E1552" t="inlineStr">
        <is>
          <t>LOA</t>
        </is>
      </c>
      <c r="F1552" t="inlineStr">
        <is>
          <t>2025-01-16</t>
        </is>
      </c>
      <c r="G1552" s="4" t="n">
        <v>30667.2</v>
      </c>
      <c r="H1552" s="4">
        <f>MAX(0,G1552-SUMIFS('Paiements contrat'!$B:$B,'Paiements contrat'!$A:$A,A1552))</f>
        <v/>
      </c>
      <c r="I1552" s="4" t="n">
        <v>19946.4</v>
      </c>
      <c r="J1552" t="inlineStr">
        <is>
          <t>actif</t>
        </is>
      </c>
    </row>
    <row r="1553">
      <c r="A1553" t="inlineStr">
        <is>
          <t>CTR-01584</t>
        </is>
      </c>
      <c r="B1553" t="inlineStr">
        <is>
          <t>CLI-00930</t>
        </is>
      </c>
      <c r="C1553" t="inlineStr">
        <is>
          <t>Île-de-France</t>
        </is>
      </c>
      <c r="D1553" t="inlineStr">
        <is>
          <t>bateau</t>
        </is>
      </c>
      <c r="E1553" t="inlineStr">
        <is>
          <t>LOA</t>
        </is>
      </c>
      <c r="F1553" t="inlineStr">
        <is>
          <t>2025-09-21</t>
        </is>
      </c>
      <c r="G1553" s="4" t="n">
        <v>117050.75</v>
      </c>
      <c r="H1553" s="4">
        <f>MAX(0,G1553-SUMIFS('Paiements contrat'!$B:$B,'Paiements contrat'!$A:$A,A1553))</f>
        <v/>
      </c>
      <c r="I1553" s="4" t="n">
        <v>85212.73</v>
      </c>
      <c r="J1553" t="inlineStr">
        <is>
          <t>actif</t>
        </is>
      </c>
    </row>
    <row r="1554">
      <c r="A1554" t="inlineStr">
        <is>
          <t>CTR-01585</t>
        </is>
      </c>
      <c r="B1554" t="inlineStr">
        <is>
          <t>CLI-00832</t>
        </is>
      </c>
      <c r="C1554" t="inlineStr">
        <is>
          <t>Île-de-France</t>
        </is>
      </c>
      <c r="D1554" t="inlineStr">
        <is>
          <t>auto</t>
        </is>
      </c>
      <c r="E1554" t="inlineStr">
        <is>
          <t>LOA</t>
        </is>
      </c>
      <c r="F1554" t="inlineStr">
        <is>
          <t>2025-03-08</t>
        </is>
      </c>
      <c r="G1554" s="4" t="n">
        <v>32584.84</v>
      </c>
      <c r="H1554" s="4">
        <f>MAX(0,G1554-SUMIFS('Paiements contrat'!$B:$B,'Paiements contrat'!$A:$A,A1554))</f>
        <v/>
      </c>
      <c r="I1554" s="4" t="n">
        <v>22461.75</v>
      </c>
      <c r="J1554" t="inlineStr">
        <is>
          <t>actif</t>
        </is>
      </c>
    </row>
    <row r="1555">
      <c r="A1555" t="inlineStr">
        <is>
          <t>CTR-01586</t>
        </is>
      </c>
      <c r="B1555" t="inlineStr">
        <is>
          <t>CLI-01098</t>
        </is>
      </c>
      <c r="C1555" t="inlineStr">
        <is>
          <t>Réunion</t>
        </is>
      </c>
      <c r="D1555" t="inlineStr">
        <is>
          <t>bateau</t>
        </is>
      </c>
      <c r="E1555" t="inlineStr">
        <is>
          <t>LOA</t>
        </is>
      </c>
      <c r="F1555" t="inlineStr">
        <is>
          <t>2026-03-04</t>
        </is>
      </c>
      <c r="G1555" s="4" t="n">
        <v>271560.73</v>
      </c>
      <c r="H1555" s="4">
        <f>MAX(0,G1555-SUMIFS('Paiements contrat'!$B:$B,'Paiements contrat'!$A:$A,A1555))</f>
        <v/>
      </c>
      <c r="I1555" s="4" t="n">
        <v>271560.73</v>
      </c>
      <c r="J1555" t="inlineStr">
        <is>
          <t>actif</t>
        </is>
      </c>
    </row>
    <row r="1556">
      <c r="A1556" t="inlineStr">
        <is>
          <t>CTR-01587</t>
        </is>
      </c>
      <c r="B1556" t="inlineStr">
        <is>
          <t>CLI-00474</t>
        </is>
      </c>
      <c r="C1556" t="inlineStr">
        <is>
          <t>Île-de-France</t>
        </is>
      </c>
      <c r="D1556" t="inlineStr">
        <is>
          <t>materiel</t>
        </is>
      </c>
      <c r="E1556" t="inlineStr">
        <is>
          <t>crédit-bail</t>
        </is>
      </c>
      <c r="F1556" t="inlineStr">
        <is>
          <t>2025-07-05</t>
        </is>
      </c>
      <c r="G1556" s="4" t="n">
        <v>62904.47</v>
      </c>
      <c r="H1556" s="4">
        <f>MAX(0,G1556-SUMIFS('Paiements contrat'!$B:$B,'Paiements contrat'!$A:$A,A1556))</f>
        <v/>
      </c>
      <c r="I1556" s="4" t="n">
        <v>49917.38</v>
      </c>
      <c r="J1556" t="inlineStr">
        <is>
          <t>actif</t>
        </is>
      </c>
    </row>
    <row r="1557">
      <c r="A1557" t="inlineStr">
        <is>
          <t>CTR-01588</t>
        </is>
      </c>
      <c r="B1557" t="inlineStr">
        <is>
          <t>CLI-01411</t>
        </is>
      </c>
      <c r="C1557" t="inlineStr">
        <is>
          <t>Île-de-France</t>
        </is>
      </c>
      <c r="D1557" t="inlineStr">
        <is>
          <t>auto</t>
        </is>
      </c>
      <c r="E1557" t="inlineStr">
        <is>
          <t>LOA</t>
        </is>
      </c>
      <c r="F1557" t="inlineStr">
        <is>
          <t>2025-03-13</t>
        </is>
      </c>
      <c r="G1557" s="4" t="n">
        <v>40843.33</v>
      </c>
      <c r="H1557" s="4">
        <f>MAX(0,G1557-SUMIFS('Paiements contrat'!$B:$B,'Paiements contrat'!$A:$A,A1557))</f>
        <v/>
      </c>
      <c r="I1557" s="4" t="n">
        <v>29046.06</v>
      </c>
      <c r="J1557" t="inlineStr">
        <is>
          <t>actif</t>
        </is>
      </c>
    </row>
    <row r="1558">
      <c r="A1558" t="inlineStr">
        <is>
          <t>CTR-01589</t>
        </is>
      </c>
      <c r="B1558" t="inlineStr">
        <is>
          <t>CLI-01012</t>
        </is>
      </c>
      <c r="C1558" t="inlineStr">
        <is>
          <t>Réunion</t>
        </is>
      </c>
      <c r="D1558" t="inlineStr">
        <is>
          <t>auto</t>
        </is>
      </c>
      <c r="E1558" t="inlineStr">
        <is>
          <t>LLD</t>
        </is>
      </c>
      <c r="F1558" t="inlineStr">
        <is>
          <t>2024-12-08</t>
        </is>
      </c>
      <c r="G1558" s="4" t="n">
        <v>44184.22</v>
      </c>
      <c r="H1558" s="4">
        <f>MAX(0,G1558-SUMIFS('Paiements contrat'!$B:$B,'Paiements contrat'!$A:$A,A1558))</f>
        <v/>
      </c>
      <c r="I1558" s="4" t="n">
        <v>20525.88</v>
      </c>
      <c r="J1558" t="inlineStr">
        <is>
          <t>actif</t>
        </is>
      </c>
    </row>
    <row r="1559">
      <c r="A1559" t="inlineStr">
        <is>
          <t>CTR-01590</t>
        </is>
      </c>
      <c r="B1559" t="inlineStr">
        <is>
          <t>CLI-00430</t>
        </is>
      </c>
      <c r="C1559" t="inlineStr">
        <is>
          <t>Île-de-France</t>
        </is>
      </c>
      <c r="D1559" t="inlineStr">
        <is>
          <t>materiel</t>
        </is>
      </c>
      <c r="E1559" t="inlineStr">
        <is>
          <t>crédit-bail</t>
        </is>
      </c>
      <c r="F1559" t="inlineStr">
        <is>
          <t>2025-05-11</t>
        </is>
      </c>
      <c r="G1559" s="4" t="n">
        <v>110194.3</v>
      </c>
      <c r="H1559" s="4">
        <f>MAX(0,G1559-SUMIFS('Paiements contrat'!$B:$B,'Paiements contrat'!$A:$A,A1559))</f>
        <v/>
      </c>
      <c r="I1559" s="4" t="n">
        <v>82039.3</v>
      </c>
      <c r="J1559" t="inlineStr">
        <is>
          <t>actif</t>
        </is>
      </c>
    </row>
    <row r="1560">
      <c r="A1560" t="inlineStr">
        <is>
          <t>CTR-01591</t>
        </is>
      </c>
      <c r="B1560" t="inlineStr">
        <is>
          <t>CLI-01312</t>
        </is>
      </c>
      <c r="C1560" t="inlineStr">
        <is>
          <t>Île-de-France</t>
        </is>
      </c>
      <c r="D1560" t="inlineStr">
        <is>
          <t>auto</t>
        </is>
      </c>
      <c r="E1560" t="inlineStr">
        <is>
          <t>LLD</t>
        </is>
      </c>
      <c r="F1560" t="inlineStr">
        <is>
          <t>2024-05-15</t>
        </is>
      </c>
      <c r="G1560" s="4" t="n">
        <v>34260.35</v>
      </c>
      <c r="H1560" s="4">
        <f>MAX(0,G1560-SUMIFS('Paiements contrat'!$B:$B,'Paiements contrat'!$A:$A,A1560))</f>
        <v/>
      </c>
      <c r="I1560" s="4" t="n">
        <v>21642.74875014587</v>
      </c>
      <c r="J1560" t="inlineStr">
        <is>
          <t>actif</t>
        </is>
      </c>
    </row>
    <row r="1561">
      <c r="A1561" t="inlineStr">
        <is>
          <t>CTR-01592</t>
        </is>
      </c>
      <c r="B1561" t="inlineStr">
        <is>
          <t>CLI-00130</t>
        </is>
      </c>
      <c r="C1561" t="inlineStr">
        <is>
          <t>Guadeloupe</t>
        </is>
      </c>
      <c r="D1561" t="inlineStr">
        <is>
          <t>auto</t>
        </is>
      </c>
      <c r="E1561" t="inlineStr">
        <is>
          <t>LOA</t>
        </is>
      </c>
      <c r="F1561" t="inlineStr">
        <is>
          <t>2024-07-21</t>
        </is>
      </c>
      <c r="G1561" s="4" t="n">
        <v>35476.57</v>
      </c>
      <c r="H1561" s="4">
        <f>MAX(0,G1561-SUMIFS('Paiements contrat'!$B:$B,'Paiements contrat'!$A:$A,A1561))</f>
        <v/>
      </c>
      <c r="I1561" s="4" t="n">
        <v>1086.641612057327</v>
      </c>
      <c r="J1561" t="inlineStr">
        <is>
          <t>soldé</t>
        </is>
      </c>
    </row>
    <row r="1562">
      <c r="A1562" t="inlineStr">
        <is>
          <t>CTR-01593</t>
        </is>
      </c>
      <c r="B1562" t="inlineStr">
        <is>
          <t>CLI-00345</t>
        </is>
      </c>
      <c r="C1562" t="inlineStr">
        <is>
          <t>Île-de-France</t>
        </is>
      </c>
      <c r="D1562" t="inlineStr">
        <is>
          <t>auto</t>
        </is>
      </c>
      <c r="E1562" t="inlineStr">
        <is>
          <t>LOA</t>
        </is>
      </c>
      <c r="F1562" t="inlineStr">
        <is>
          <t>2024-04-03</t>
        </is>
      </c>
      <c r="G1562" s="4" t="n">
        <v>13428.05</v>
      </c>
      <c r="H1562" s="4">
        <f>MAX(0,G1562-SUMIFS('Paiements contrat'!$B:$B,'Paiements contrat'!$A:$A,A1562))</f>
        <v/>
      </c>
      <c r="I1562" s="4" t="n">
        <v>8281.75</v>
      </c>
      <c r="J1562" t="inlineStr">
        <is>
          <t>actif</t>
        </is>
      </c>
    </row>
    <row r="1563">
      <c r="A1563" t="inlineStr">
        <is>
          <t>CTR-01594</t>
        </is>
      </c>
      <c r="B1563" t="inlineStr">
        <is>
          <t>CLI-01049</t>
        </is>
      </c>
      <c r="C1563" t="inlineStr">
        <is>
          <t>Martinique</t>
        </is>
      </c>
      <c r="D1563" t="inlineStr">
        <is>
          <t>auto</t>
        </is>
      </c>
      <c r="E1563" t="inlineStr">
        <is>
          <t>LLD</t>
        </is>
      </c>
      <c r="F1563" t="inlineStr">
        <is>
          <t>2024-07-25</t>
        </is>
      </c>
      <c r="G1563" s="4" t="n">
        <v>69806.28</v>
      </c>
      <c r="H1563" s="4">
        <f>MAX(0,G1563-SUMIFS('Paiements contrat'!$B:$B,'Paiements contrat'!$A:$A,A1563))</f>
        <v/>
      </c>
      <c r="I1563" s="4" t="n">
        <v>44457.99</v>
      </c>
      <c r="J1563" t="inlineStr">
        <is>
          <t>actif</t>
        </is>
      </c>
    </row>
    <row r="1564">
      <c r="A1564" t="inlineStr">
        <is>
          <t>CTR-01595</t>
        </is>
      </c>
      <c r="B1564" t="inlineStr">
        <is>
          <t>CLI-01154</t>
        </is>
      </c>
      <c r="C1564" t="inlineStr">
        <is>
          <t>Île-de-France</t>
        </is>
      </c>
      <c r="D1564" t="inlineStr">
        <is>
          <t>materiel</t>
        </is>
      </c>
      <c r="E1564" t="inlineStr">
        <is>
          <t>crédit-bail</t>
        </is>
      </c>
      <c r="F1564" t="inlineStr">
        <is>
          <t>2025-10-25</t>
        </is>
      </c>
      <c r="G1564" s="4" t="n">
        <v>158787.61</v>
      </c>
      <c r="H1564" s="4">
        <f>MAX(0,G1564-SUMIFS('Paiements contrat'!$B:$B,'Paiements contrat'!$A:$A,A1564))</f>
        <v/>
      </c>
      <c r="I1564" s="4" t="n">
        <v>135088.1721412744</v>
      </c>
      <c r="J1564" t="inlineStr">
        <is>
          <t>actif</t>
        </is>
      </c>
    </row>
    <row r="1565">
      <c r="A1565" t="inlineStr">
        <is>
          <t>CTR-01596</t>
        </is>
      </c>
      <c r="B1565" t="inlineStr">
        <is>
          <t>CLI-00453</t>
        </is>
      </c>
      <c r="C1565" t="inlineStr">
        <is>
          <t>Réunion</t>
        </is>
      </c>
      <c r="D1565" t="inlineStr">
        <is>
          <t>auto</t>
        </is>
      </c>
      <c r="E1565" t="inlineStr">
        <is>
          <t>LOA</t>
        </is>
      </c>
      <c r="F1565" t="inlineStr">
        <is>
          <t>2025-04-08</t>
        </is>
      </c>
      <c r="G1565" s="4" t="n">
        <v>48700.51</v>
      </c>
      <c r="H1565" s="4">
        <f>MAX(0,G1565-SUMIFS('Paiements contrat'!$B:$B,'Paiements contrat'!$A:$A,A1565))</f>
        <v/>
      </c>
      <c r="I1565" s="4" t="n">
        <v>34900.88</v>
      </c>
      <c r="J1565" t="inlineStr">
        <is>
          <t>actif</t>
        </is>
      </c>
    </row>
    <row r="1566">
      <c r="A1566" t="inlineStr">
        <is>
          <t>CTR-01597</t>
        </is>
      </c>
      <c r="B1566" t="inlineStr">
        <is>
          <t>CLI-00351</t>
        </is>
      </c>
      <c r="C1566" t="inlineStr">
        <is>
          <t>Île-de-France</t>
        </is>
      </c>
      <c r="D1566" t="inlineStr">
        <is>
          <t>auto</t>
        </is>
      </c>
      <c r="E1566" t="inlineStr">
        <is>
          <t>LOA</t>
        </is>
      </c>
      <c r="F1566" t="inlineStr">
        <is>
          <t>2025-04-08</t>
        </is>
      </c>
      <c r="G1566" s="4" t="n">
        <v>43615.64</v>
      </c>
      <c r="H1566" s="4">
        <f>MAX(0,G1566-SUMIFS('Paiements contrat'!$B:$B,'Paiements contrat'!$A:$A,A1566))</f>
        <v/>
      </c>
      <c r="I1566" s="4" t="n">
        <v>24440.52</v>
      </c>
      <c r="J1566" t="inlineStr">
        <is>
          <t>actif</t>
        </is>
      </c>
    </row>
    <row r="1567">
      <c r="A1567" t="inlineStr">
        <is>
          <t>CTR-01598</t>
        </is>
      </c>
      <c r="B1567" t="inlineStr">
        <is>
          <t>CLI-01072</t>
        </is>
      </c>
      <c r="C1567" t="inlineStr">
        <is>
          <t>Réunion</t>
        </is>
      </c>
      <c r="D1567" t="inlineStr">
        <is>
          <t>auto</t>
        </is>
      </c>
      <c r="E1567" t="inlineStr">
        <is>
          <t>LOA</t>
        </is>
      </c>
      <c r="F1567" t="inlineStr">
        <is>
          <t>2024-12-15</t>
        </is>
      </c>
      <c r="G1567" s="4" t="n">
        <v>54164.57</v>
      </c>
      <c r="H1567" s="4">
        <f>MAX(0,G1567-SUMIFS('Paiements contrat'!$B:$B,'Paiements contrat'!$A:$A,A1567))</f>
        <v/>
      </c>
      <c r="I1567" s="4" t="n">
        <v>35912.59</v>
      </c>
      <c r="J1567" t="inlineStr">
        <is>
          <t>actif</t>
        </is>
      </c>
    </row>
    <row r="1568">
      <c r="A1568" t="inlineStr">
        <is>
          <t>CTR-01599</t>
        </is>
      </c>
      <c r="B1568" t="inlineStr">
        <is>
          <t>CLI-00558</t>
        </is>
      </c>
      <c r="C1568" t="inlineStr">
        <is>
          <t>Guadeloupe</t>
        </is>
      </c>
      <c r="D1568" t="inlineStr">
        <is>
          <t>auto</t>
        </is>
      </c>
      <c r="E1568" t="inlineStr">
        <is>
          <t>LLD</t>
        </is>
      </c>
      <c r="F1568" t="inlineStr">
        <is>
          <t>2024-09-03</t>
        </is>
      </c>
      <c r="G1568" s="4" t="n">
        <v>60435.01</v>
      </c>
      <c r="H1568" s="4">
        <f>MAX(0,G1568-SUMIFS('Paiements contrat'!$B:$B,'Paiements contrat'!$A:$A,A1568))</f>
        <v/>
      </c>
      <c r="I1568" s="4" t="n">
        <v>35047.9077485882</v>
      </c>
      <c r="J1568" t="inlineStr">
        <is>
          <t>actif</t>
        </is>
      </c>
    </row>
    <row r="1569">
      <c r="A1569" t="inlineStr">
        <is>
          <t>CTR-01600</t>
        </is>
      </c>
      <c r="B1569" t="inlineStr">
        <is>
          <t>CLI-00453</t>
        </is>
      </c>
      <c r="C1569" t="inlineStr">
        <is>
          <t>Réunion</t>
        </is>
      </c>
      <c r="D1569" t="inlineStr">
        <is>
          <t>auto</t>
        </is>
      </c>
      <c r="E1569" t="inlineStr">
        <is>
          <t>LOA</t>
        </is>
      </c>
      <c r="F1569" t="inlineStr">
        <is>
          <t>2025-04-18</t>
        </is>
      </c>
      <c r="G1569" s="4" t="n">
        <v>22342.23</v>
      </c>
      <c r="H1569" s="4">
        <f>MAX(0,G1569-SUMIFS('Paiements contrat'!$B:$B,'Paiements contrat'!$A:$A,A1569))</f>
        <v/>
      </c>
      <c r="I1569" s="4" t="n">
        <v>7555.369999999999</v>
      </c>
      <c r="J1569" t="inlineStr">
        <is>
          <t>actif</t>
        </is>
      </c>
    </row>
    <row r="1570">
      <c r="A1570" t="inlineStr">
        <is>
          <t>CTR-01601</t>
        </is>
      </c>
      <c r="B1570" t="inlineStr">
        <is>
          <t>CLI-01169</t>
        </is>
      </c>
      <c r="C1570" t="inlineStr">
        <is>
          <t>Île-de-France</t>
        </is>
      </c>
      <c r="D1570" t="inlineStr">
        <is>
          <t>materiel</t>
        </is>
      </c>
      <c r="E1570" t="inlineStr">
        <is>
          <t>crédit-bail</t>
        </is>
      </c>
      <c r="F1570" t="inlineStr">
        <is>
          <t>2026-02-12</t>
        </is>
      </c>
      <c r="G1570" s="4" t="n">
        <v>113870.59</v>
      </c>
      <c r="H1570" s="4">
        <f>MAX(0,G1570-SUMIFS('Paiements contrat'!$B:$B,'Paiements contrat'!$A:$A,A1570))</f>
        <v/>
      </c>
      <c r="I1570" s="4" t="n">
        <v>107717.11</v>
      </c>
      <c r="J1570" t="inlineStr">
        <is>
          <t>actif</t>
        </is>
      </c>
    </row>
    <row r="1571">
      <c r="A1571" t="inlineStr">
        <is>
          <t>CTR-01602</t>
        </is>
      </c>
      <c r="B1571" t="inlineStr">
        <is>
          <t>CLI-00651</t>
        </is>
      </c>
      <c r="C1571" t="inlineStr">
        <is>
          <t>Île-de-France</t>
        </is>
      </c>
      <c r="D1571" t="inlineStr">
        <is>
          <t>auto</t>
        </is>
      </c>
      <c r="E1571" t="inlineStr">
        <is>
          <t>LOA</t>
        </is>
      </c>
      <c r="F1571" t="inlineStr">
        <is>
          <t>2024-06-17</t>
        </is>
      </c>
      <c r="G1571" s="4" t="n">
        <v>11465.89</v>
      </c>
      <c r="H1571" s="4">
        <f>MAX(0,G1571-SUMIFS('Paiements contrat'!$B:$B,'Paiements contrat'!$A:$A,A1571))</f>
        <v/>
      </c>
      <c r="I1571" s="4" t="n">
        <v>4356.23</v>
      </c>
      <c r="J1571" t="inlineStr">
        <is>
          <t>actif</t>
        </is>
      </c>
    </row>
    <row r="1572">
      <c r="A1572" t="inlineStr">
        <is>
          <t>CTR-01603</t>
        </is>
      </c>
      <c r="B1572" t="inlineStr">
        <is>
          <t>CLI-00700</t>
        </is>
      </c>
      <c r="C1572" t="inlineStr">
        <is>
          <t>Île-de-France</t>
        </is>
      </c>
      <c r="D1572" t="inlineStr">
        <is>
          <t>auto</t>
        </is>
      </c>
      <c r="E1572" t="inlineStr">
        <is>
          <t>LOA</t>
        </is>
      </c>
      <c r="F1572" t="inlineStr">
        <is>
          <t>2024-07-10</t>
        </is>
      </c>
      <c r="G1572" s="4" t="n">
        <v>8273.84</v>
      </c>
      <c r="H1572" s="4">
        <f>MAX(0,G1572-SUMIFS('Paiements contrat'!$B:$B,'Paiements contrat'!$A:$A,A1572))</f>
        <v/>
      </c>
      <c r="I1572" s="4" t="n">
        <v>1924.848986493729</v>
      </c>
      <c r="J1572" t="inlineStr">
        <is>
          <t>actif</t>
        </is>
      </c>
    </row>
    <row r="1573">
      <c r="A1573" t="inlineStr">
        <is>
          <t>CTR-01604</t>
        </is>
      </c>
      <c r="B1573" t="inlineStr">
        <is>
          <t>CLI-01164</t>
        </is>
      </c>
      <c r="C1573" t="inlineStr">
        <is>
          <t>Guadeloupe</t>
        </is>
      </c>
      <c r="D1573" t="inlineStr">
        <is>
          <t>materiel</t>
        </is>
      </c>
      <c r="E1573" t="inlineStr">
        <is>
          <t>crédit-bail</t>
        </is>
      </c>
      <c r="F1573" t="inlineStr">
        <is>
          <t>2025-11-22</t>
        </is>
      </c>
      <c r="G1573" s="4" t="n">
        <v>50376.16</v>
      </c>
      <c r="H1573" s="4">
        <f>MAX(0,G1573-SUMIFS('Paiements contrat'!$B:$B,'Paiements contrat'!$A:$A,A1573))</f>
        <v/>
      </c>
      <c r="I1573" s="4" t="n">
        <v>44481.04</v>
      </c>
      <c r="J1573" t="inlineStr">
        <is>
          <t>actif</t>
        </is>
      </c>
    </row>
    <row r="1574">
      <c r="A1574" t="inlineStr">
        <is>
          <t>CTR-01605</t>
        </is>
      </c>
      <c r="B1574" t="inlineStr">
        <is>
          <t>CLI-01438</t>
        </is>
      </c>
      <c r="C1574" t="inlineStr">
        <is>
          <t>Île-de-France</t>
        </is>
      </c>
      <c r="D1574" t="inlineStr">
        <is>
          <t>auto</t>
        </is>
      </c>
      <c r="E1574" t="inlineStr">
        <is>
          <t>LLD</t>
        </is>
      </c>
      <c r="F1574" t="inlineStr">
        <is>
          <t>2025-03-20</t>
        </is>
      </c>
      <c r="G1574" s="4" t="n">
        <v>45866.61</v>
      </c>
      <c r="H1574" s="4">
        <f>MAX(0,G1574-SUMIFS('Paiements contrat'!$B:$B,'Paiements contrat'!$A:$A,A1574))</f>
        <v/>
      </c>
      <c r="I1574" s="4" t="n">
        <v>38759</v>
      </c>
      <c r="J1574" t="inlineStr">
        <is>
          <t>actif</t>
        </is>
      </c>
    </row>
    <row r="1575">
      <c r="A1575" t="inlineStr">
        <is>
          <t>CTR-01606</t>
        </is>
      </c>
      <c r="B1575" t="inlineStr">
        <is>
          <t>CLI-00678</t>
        </is>
      </c>
      <c r="C1575" t="inlineStr">
        <is>
          <t>Réunion</t>
        </is>
      </c>
      <c r="D1575" t="inlineStr">
        <is>
          <t>materiel</t>
        </is>
      </c>
      <c r="E1575" t="inlineStr">
        <is>
          <t>crédit-bail</t>
        </is>
      </c>
      <c r="F1575" t="inlineStr">
        <is>
          <t>2024-08-12</t>
        </is>
      </c>
      <c r="G1575" s="4" t="n">
        <v>33315.23</v>
      </c>
      <c r="H1575" s="4">
        <f>MAX(0,G1575-SUMIFS('Paiements contrat'!$B:$B,'Paiements contrat'!$A:$A,A1575))</f>
        <v/>
      </c>
      <c r="I1575" s="4" t="n">
        <v>18230.59</v>
      </c>
      <c r="J1575" t="inlineStr">
        <is>
          <t>actif</t>
        </is>
      </c>
    </row>
    <row r="1576">
      <c r="A1576" t="inlineStr">
        <is>
          <t>CTR-01607</t>
        </is>
      </c>
      <c r="B1576" t="inlineStr">
        <is>
          <t>CLI-00303</t>
        </is>
      </c>
      <c r="C1576" t="inlineStr">
        <is>
          <t>Réunion</t>
        </is>
      </c>
      <c r="D1576" t="inlineStr">
        <is>
          <t>auto</t>
        </is>
      </c>
      <c r="E1576" t="inlineStr">
        <is>
          <t>LOA</t>
        </is>
      </c>
      <c r="F1576" t="inlineStr">
        <is>
          <t>2025-03-21</t>
        </is>
      </c>
      <c r="G1576" s="4" t="n">
        <v>21196.5</v>
      </c>
      <c r="H1576" s="4">
        <f>MAX(0,G1576-SUMIFS('Paiements contrat'!$B:$B,'Paiements contrat'!$A:$A,A1576))</f>
        <v/>
      </c>
      <c r="I1576" s="4" t="n">
        <v>17425.26</v>
      </c>
      <c r="J1576" t="inlineStr">
        <is>
          <t>actif</t>
        </is>
      </c>
    </row>
    <row r="1577">
      <c r="A1577" t="inlineStr">
        <is>
          <t>CTR-01608</t>
        </is>
      </c>
      <c r="B1577" t="inlineStr">
        <is>
          <t>CLI-00584</t>
        </is>
      </c>
      <c r="C1577" t="inlineStr">
        <is>
          <t>Île-de-France</t>
        </is>
      </c>
      <c r="D1577" t="inlineStr">
        <is>
          <t>auto</t>
        </is>
      </c>
      <c r="E1577" t="inlineStr">
        <is>
          <t>LOA</t>
        </is>
      </c>
      <c r="F1577" t="inlineStr">
        <is>
          <t>2026-03-12</t>
        </is>
      </c>
      <c r="G1577" s="4" t="n">
        <v>19374.67</v>
      </c>
      <c r="H1577" s="4">
        <f>MAX(0,G1577-SUMIFS('Paiements contrat'!$B:$B,'Paiements contrat'!$A:$A,A1577))</f>
        <v/>
      </c>
      <c r="I1577" s="4" t="n">
        <v>19374.67</v>
      </c>
      <c r="J1577" t="inlineStr">
        <is>
          <t>actif</t>
        </is>
      </c>
    </row>
    <row r="1578">
      <c r="A1578" t="inlineStr">
        <is>
          <t>CTR-01609</t>
        </is>
      </c>
      <c r="B1578" t="inlineStr">
        <is>
          <t>CLI-01432</t>
        </is>
      </c>
      <c r="C1578" t="inlineStr">
        <is>
          <t>Guyane</t>
        </is>
      </c>
      <c r="D1578" t="inlineStr">
        <is>
          <t>bateau</t>
        </is>
      </c>
      <c r="E1578" t="inlineStr">
        <is>
          <t>LOA</t>
        </is>
      </c>
      <c r="F1578" t="inlineStr">
        <is>
          <t>2025-01-07</t>
        </is>
      </c>
      <c r="G1578" s="4" t="n">
        <v>43068.69</v>
      </c>
      <c r="H1578" s="4">
        <f>MAX(0,G1578-SUMIFS('Paiements contrat'!$B:$B,'Paiements contrat'!$A:$A,A1578))</f>
        <v/>
      </c>
      <c r="I1578" s="4" t="n">
        <v>27955.38</v>
      </c>
      <c r="J1578" t="inlineStr">
        <is>
          <t>actif</t>
        </is>
      </c>
    </row>
    <row r="1579">
      <c r="A1579" t="inlineStr">
        <is>
          <t>CTR-01610</t>
        </is>
      </c>
      <c r="B1579" t="inlineStr">
        <is>
          <t>CLI-01180</t>
        </is>
      </c>
      <c r="C1579" t="inlineStr">
        <is>
          <t>Île-de-France</t>
        </is>
      </c>
      <c r="D1579" t="inlineStr">
        <is>
          <t>materiel</t>
        </is>
      </c>
      <c r="E1579" t="inlineStr">
        <is>
          <t>crédit-bail</t>
        </is>
      </c>
      <c r="F1579" t="inlineStr">
        <is>
          <t>2025-05-14</t>
        </is>
      </c>
      <c r="G1579" s="4" t="n">
        <v>28426.4</v>
      </c>
      <c r="H1579" s="4">
        <f>MAX(0,G1579-SUMIFS('Paiements contrat'!$B:$B,'Paiements contrat'!$A:$A,A1579))</f>
        <v/>
      </c>
      <c r="I1579" s="4" t="n">
        <v>21134.52</v>
      </c>
      <c r="J1579" t="inlineStr">
        <is>
          <t>actif</t>
        </is>
      </c>
    </row>
    <row r="1580">
      <c r="A1580" t="inlineStr">
        <is>
          <t>CTR-01611</t>
        </is>
      </c>
      <c r="B1580" t="inlineStr">
        <is>
          <t>CLI-00660</t>
        </is>
      </c>
      <c r="C1580" t="inlineStr">
        <is>
          <t>Île-de-France</t>
        </is>
      </c>
      <c r="D1580" t="inlineStr">
        <is>
          <t>materiel</t>
        </is>
      </c>
      <c r="E1580" t="inlineStr">
        <is>
          <t>crédit-bail</t>
        </is>
      </c>
      <c r="F1580" t="inlineStr">
        <is>
          <t>2024-10-18</t>
        </is>
      </c>
      <c r="G1580" s="4" t="n">
        <v>90417.02</v>
      </c>
      <c r="H1580" s="4">
        <f>MAX(0,G1580-SUMIFS('Paiements contrat'!$B:$B,'Paiements contrat'!$A:$A,A1580))</f>
        <v/>
      </c>
      <c r="I1580" s="4" t="n">
        <v>55484.79596802265</v>
      </c>
      <c r="J1580" t="inlineStr">
        <is>
          <t>actif</t>
        </is>
      </c>
    </row>
    <row r="1581">
      <c r="A1581" t="inlineStr">
        <is>
          <t>CTR-01612</t>
        </is>
      </c>
      <c r="B1581" t="inlineStr">
        <is>
          <t>CLI-00608</t>
        </is>
      </c>
      <c r="C1581" t="inlineStr">
        <is>
          <t>Île-de-France</t>
        </is>
      </c>
      <c r="D1581" t="inlineStr">
        <is>
          <t>bateau</t>
        </is>
      </c>
      <c r="E1581" t="inlineStr">
        <is>
          <t>LOA</t>
        </is>
      </c>
      <c r="F1581" t="inlineStr">
        <is>
          <t>2026-01-07</t>
        </is>
      </c>
      <c r="G1581" s="4" t="n">
        <v>110069.61</v>
      </c>
      <c r="H1581" s="4">
        <f>MAX(0,G1581-SUMIFS('Paiements contrat'!$B:$B,'Paiements contrat'!$A:$A,A1581))</f>
        <v/>
      </c>
      <c r="I1581" s="4" t="n">
        <v>104222.42</v>
      </c>
      <c r="J1581" t="inlineStr">
        <is>
          <t>actif</t>
        </is>
      </c>
    </row>
    <row r="1582">
      <c r="A1582" t="inlineStr">
        <is>
          <t>CTR-01613</t>
        </is>
      </c>
      <c r="B1582" t="inlineStr">
        <is>
          <t>CLI-00122</t>
        </is>
      </c>
      <c r="C1582" t="inlineStr">
        <is>
          <t>Île-de-France</t>
        </is>
      </c>
      <c r="D1582" t="inlineStr">
        <is>
          <t>materiel</t>
        </is>
      </c>
      <c r="E1582" t="inlineStr">
        <is>
          <t>crédit-bail</t>
        </is>
      </c>
      <c r="F1582" t="inlineStr">
        <is>
          <t>2024-06-22</t>
        </is>
      </c>
      <c r="G1582" s="4" t="n">
        <v>62453.03</v>
      </c>
      <c r="H1582" s="4">
        <f>MAX(0,G1582-SUMIFS('Paiements contrat'!$B:$B,'Paiements contrat'!$A:$A,A1582))</f>
        <v/>
      </c>
      <c r="I1582" s="4" t="n">
        <v>34554.48</v>
      </c>
      <c r="J1582" t="inlineStr">
        <is>
          <t>actif</t>
        </is>
      </c>
    </row>
    <row r="1583">
      <c r="A1583" t="inlineStr">
        <is>
          <t>CTR-01614</t>
        </is>
      </c>
      <c r="B1583" t="inlineStr">
        <is>
          <t>CLI-00003</t>
        </is>
      </c>
      <c r="C1583" t="inlineStr">
        <is>
          <t>Île-de-France</t>
        </is>
      </c>
      <c r="D1583" t="inlineStr">
        <is>
          <t>bateau</t>
        </is>
      </c>
      <c r="E1583" t="inlineStr">
        <is>
          <t>LOA</t>
        </is>
      </c>
      <c r="F1583" t="inlineStr">
        <is>
          <t>2024-12-06</t>
        </is>
      </c>
      <c r="G1583" s="4" t="n">
        <v>71706.45</v>
      </c>
      <c r="H1583" s="4">
        <f>MAX(0,G1583-SUMIFS('Paiements contrat'!$B:$B,'Paiements contrat'!$A:$A,A1583))</f>
        <v/>
      </c>
      <c r="I1583" s="4" t="n">
        <v>47731.45854077769</v>
      </c>
      <c r="J1583" t="inlineStr">
        <is>
          <t>contentieux</t>
        </is>
      </c>
    </row>
    <row r="1584">
      <c r="A1584" t="inlineStr">
        <is>
          <t>CTR-01615</t>
        </is>
      </c>
      <c r="B1584" t="inlineStr">
        <is>
          <t>CLI-00798</t>
        </is>
      </c>
      <c r="C1584" t="inlineStr">
        <is>
          <t>Île-de-France</t>
        </is>
      </c>
      <c r="D1584" t="inlineStr">
        <is>
          <t>materiel</t>
        </is>
      </c>
      <c r="E1584" t="inlineStr">
        <is>
          <t>crédit-bail</t>
        </is>
      </c>
      <c r="F1584" t="inlineStr">
        <is>
          <t>2026-02-01</t>
        </is>
      </c>
      <c r="G1584" s="4" t="n">
        <v>22889.25</v>
      </c>
      <c r="H1584" s="4">
        <f>MAX(0,G1584-SUMIFS('Paiements contrat'!$B:$B,'Paiements contrat'!$A:$A,A1584))</f>
        <v/>
      </c>
      <c r="I1584" s="4" t="n">
        <v>21960.77</v>
      </c>
      <c r="J1584" t="inlineStr">
        <is>
          <t>actif</t>
        </is>
      </c>
    </row>
    <row r="1585">
      <c r="A1585" t="inlineStr">
        <is>
          <t>CTR-01616</t>
        </is>
      </c>
      <c r="B1585" t="inlineStr">
        <is>
          <t>CLI-01498</t>
        </is>
      </c>
      <c r="C1585" t="inlineStr">
        <is>
          <t>Île-de-France</t>
        </is>
      </c>
      <c r="D1585" t="inlineStr">
        <is>
          <t>materiel</t>
        </is>
      </c>
      <c r="E1585" t="inlineStr">
        <is>
          <t>crédit-bail</t>
        </is>
      </c>
      <c r="F1585" t="inlineStr">
        <is>
          <t>2025-04-18</t>
        </is>
      </c>
      <c r="G1585" s="4" t="n">
        <v>18689.63</v>
      </c>
      <c r="H1585" s="4">
        <f>MAX(0,G1585-SUMIFS('Paiements contrat'!$B:$B,'Paiements contrat'!$A:$A,A1585))</f>
        <v/>
      </c>
      <c r="I1585" s="4" t="n">
        <v>12223.31</v>
      </c>
      <c r="J1585" t="inlineStr">
        <is>
          <t>actif</t>
        </is>
      </c>
    </row>
    <row r="1586">
      <c r="A1586" t="inlineStr">
        <is>
          <t>CTR-01617</t>
        </is>
      </c>
      <c r="B1586" t="inlineStr">
        <is>
          <t>CLI-00630</t>
        </is>
      </c>
      <c r="C1586" t="inlineStr">
        <is>
          <t>Réunion</t>
        </is>
      </c>
      <c r="D1586" t="inlineStr">
        <is>
          <t>auto</t>
        </is>
      </c>
      <c r="E1586" t="inlineStr">
        <is>
          <t>LOA</t>
        </is>
      </c>
      <c r="F1586" t="inlineStr">
        <is>
          <t>2024-08-19</t>
        </is>
      </c>
      <c r="G1586" s="4" t="n">
        <v>57614.96</v>
      </c>
      <c r="H1586" s="4">
        <f>MAX(0,G1586-SUMIFS('Paiements contrat'!$B:$B,'Paiements contrat'!$A:$A,A1586))</f>
        <v/>
      </c>
      <c r="I1586" s="4" t="n">
        <v>31205.32</v>
      </c>
      <c r="J1586" t="inlineStr">
        <is>
          <t>actif</t>
        </is>
      </c>
    </row>
    <row r="1587">
      <c r="A1587" t="inlineStr">
        <is>
          <t>CTR-01618</t>
        </is>
      </c>
      <c r="B1587" t="inlineStr">
        <is>
          <t>CLI-00848</t>
        </is>
      </c>
      <c r="C1587" t="inlineStr">
        <is>
          <t>Île-de-France</t>
        </is>
      </c>
      <c r="D1587" t="inlineStr">
        <is>
          <t>auto</t>
        </is>
      </c>
      <c r="E1587" t="inlineStr">
        <is>
          <t>LOA</t>
        </is>
      </c>
      <c r="F1587" t="inlineStr">
        <is>
          <t>2026-03-01</t>
        </is>
      </c>
      <c r="G1587" s="4" t="n">
        <v>38094.6</v>
      </c>
      <c r="H1587" s="4">
        <f>MAX(0,G1587-SUMIFS('Paiements contrat'!$B:$B,'Paiements contrat'!$A:$A,A1587))</f>
        <v/>
      </c>
      <c r="I1587" s="4" t="n">
        <v>38094.6</v>
      </c>
      <c r="J1587" t="inlineStr">
        <is>
          <t>actif</t>
        </is>
      </c>
    </row>
    <row r="1588">
      <c r="A1588" t="inlineStr">
        <is>
          <t>CTR-01619</t>
        </is>
      </c>
      <c r="B1588" t="inlineStr">
        <is>
          <t>CLI-00912</t>
        </is>
      </c>
      <c r="C1588" t="inlineStr">
        <is>
          <t>Guyane</t>
        </is>
      </c>
      <c r="D1588" t="inlineStr">
        <is>
          <t>bateau</t>
        </is>
      </c>
      <c r="E1588" t="inlineStr">
        <is>
          <t>LOA</t>
        </is>
      </c>
      <c r="F1588" t="inlineStr">
        <is>
          <t>2025-08-11</t>
        </is>
      </c>
      <c r="G1588" s="4" t="n">
        <v>207719.69</v>
      </c>
      <c r="H1588" s="4">
        <f>MAX(0,G1588-SUMIFS('Paiements contrat'!$B:$B,'Paiements contrat'!$A:$A,A1588))</f>
        <v/>
      </c>
      <c r="I1588" s="4" t="n">
        <v>184992.21</v>
      </c>
      <c r="J1588" t="inlineStr">
        <is>
          <t>actif</t>
        </is>
      </c>
    </row>
    <row r="1589">
      <c r="A1589" t="inlineStr">
        <is>
          <t>CTR-01620</t>
        </is>
      </c>
      <c r="B1589" t="inlineStr">
        <is>
          <t>CLI-00039</t>
        </is>
      </c>
      <c r="C1589" t="inlineStr">
        <is>
          <t>Île-de-France</t>
        </is>
      </c>
      <c r="D1589" t="inlineStr">
        <is>
          <t>materiel</t>
        </is>
      </c>
      <c r="E1589" t="inlineStr">
        <is>
          <t>crédit-bail</t>
        </is>
      </c>
      <c r="F1589" t="inlineStr">
        <is>
          <t>2025-02-17</t>
        </is>
      </c>
      <c r="G1589" s="4" t="n">
        <v>134654.55</v>
      </c>
      <c r="H1589" s="4">
        <f>MAX(0,G1589-SUMIFS('Paiements contrat'!$B:$B,'Paiements contrat'!$A:$A,A1589))</f>
        <v/>
      </c>
      <c r="I1589" s="4" t="n">
        <v>61533.18999999999</v>
      </c>
      <c r="J1589" t="inlineStr">
        <is>
          <t>actif</t>
        </is>
      </c>
    </row>
    <row r="1590">
      <c r="A1590" t="inlineStr">
        <is>
          <t>CTR-01621</t>
        </is>
      </c>
      <c r="B1590" t="inlineStr">
        <is>
          <t>CLI-00439</t>
        </is>
      </c>
      <c r="C1590" t="inlineStr">
        <is>
          <t>Île-de-France</t>
        </is>
      </c>
      <c r="D1590" t="inlineStr">
        <is>
          <t>materiel</t>
        </is>
      </c>
      <c r="E1590" t="inlineStr">
        <is>
          <t>crédit-bail</t>
        </is>
      </c>
      <c r="F1590" t="inlineStr">
        <is>
          <t>2025-09-20</t>
        </is>
      </c>
      <c r="G1590" s="4" t="n">
        <v>94964.99000000001</v>
      </c>
      <c r="H1590" s="4">
        <f>MAX(0,G1590-SUMIFS('Paiements contrat'!$B:$B,'Paiements contrat'!$A:$A,A1590))</f>
        <v/>
      </c>
      <c r="I1590" s="4" t="n">
        <v>83172.67000000001</v>
      </c>
      <c r="J1590" t="inlineStr">
        <is>
          <t>actif</t>
        </is>
      </c>
    </row>
    <row r="1591">
      <c r="A1591" t="inlineStr">
        <is>
          <t>CTR-01622</t>
        </is>
      </c>
      <c r="B1591" t="inlineStr">
        <is>
          <t>CLI-01017</t>
        </is>
      </c>
      <c r="C1591" t="inlineStr">
        <is>
          <t>Île-de-France</t>
        </is>
      </c>
      <c r="D1591" t="inlineStr">
        <is>
          <t>auto</t>
        </is>
      </c>
      <c r="E1591" t="inlineStr">
        <is>
          <t>LLD</t>
        </is>
      </c>
      <c r="F1591" t="inlineStr">
        <is>
          <t>2025-02-24</t>
        </is>
      </c>
      <c r="G1591" s="4" t="n">
        <v>12717.41</v>
      </c>
      <c r="H1591" s="4">
        <f>MAX(0,G1591-SUMIFS('Paiements contrat'!$B:$B,'Paiements contrat'!$A:$A,A1591))</f>
        <v/>
      </c>
      <c r="I1591" s="4" t="n">
        <v>6998.9</v>
      </c>
      <c r="J1591" t="inlineStr">
        <is>
          <t>actif</t>
        </is>
      </c>
    </row>
    <row r="1592">
      <c r="A1592" t="inlineStr">
        <is>
          <t>CTR-01623</t>
        </is>
      </c>
      <c r="B1592" t="inlineStr">
        <is>
          <t>CLI-00325</t>
        </is>
      </c>
      <c r="C1592" t="inlineStr">
        <is>
          <t>Île-de-France</t>
        </is>
      </c>
      <c r="D1592" t="inlineStr">
        <is>
          <t>auto</t>
        </is>
      </c>
      <c r="E1592" t="inlineStr">
        <is>
          <t>LLD</t>
        </is>
      </c>
      <c r="F1592" t="inlineStr">
        <is>
          <t>2025-07-02</t>
        </is>
      </c>
      <c r="G1592" s="4" t="n">
        <v>32292.21</v>
      </c>
      <c r="H1592" s="4">
        <f>MAX(0,G1592-SUMIFS('Paiements contrat'!$B:$B,'Paiements contrat'!$A:$A,A1592))</f>
        <v/>
      </c>
      <c r="I1592" s="4" t="n">
        <v>21732.21</v>
      </c>
      <c r="J1592" t="inlineStr">
        <is>
          <t>actif</t>
        </is>
      </c>
    </row>
    <row r="1593">
      <c r="A1593" t="inlineStr">
        <is>
          <t>CTR-01624</t>
        </is>
      </c>
      <c r="B1593" t="inlineStr">
        <is>
          <t>CLI-00075</t>
        </is>
      </c>
      <c r="C1593" t="inlineStr">
        <is>
          <t>Guadeloupe</t>
        </is>
      </c>
      <c r="D1593" t="inlineStr">
        <is>
          <t>auto</t>
        </is>
      </c>
      <c r="E1593" t="inlineStr">
        <is>
          <t>LOA</t>
        </is>
      </c>
      <c r="F1593" t="inlineStr">
        <is>
          <t>2024-06-03</t>
        </is>
      </c>
      <c r="G1593" s="4" t="n">
        <v>14482.47</v>
      </c>
      <c r="H1593" s="4">
        <f>MAX(0,G1593-SUMIFS('Paiements contrat'!$B:$B,'Paiements contrat'!$A:$A,A1593))</f>
        <v/>
      </c>
      <c r="I1593" s="4" t="n">
        <v>3679.779999999999</v>
      </c>
      <c r="J1593" t="inlineStr">
        <is>
          <t>actif</t>
        </is>
      </c>
    </row>
    <row r="1594">
      <c r="A1594" t="inlineStr">
        <is>
          <t>CTR-01625</t>
        </is>
      </c>
      <c r="B1594" t="inlineStr">
        <is>
          <t>CLI-00147</t>
        </is>
      </c>
      <c r="C1594" t="inlineStr">
        <is>
          <t>Île-de-France</t>
        </is>
      </c>
      <c r="D1594" t="inlineStr">
        <is>
          <t>auto</t>
        </is>
      </c>
      <c r="E1594" t="inlineStr">
        <is>
          <t>LOA</t>
        </is>
      </c>
      <c r="F1594" t="inlineStr">
        <is>
          <t>2026-01-04</t>
        </is>
      </c>
      <c r="G1594" s="4" t="n">
        <v>21135.1</v>
      </c>
      <c r="H1594" s="4">
        <f>MAX(0,G1594-SUMIFS('Paiements contrat'!$B:$B,'Paiements contrat'!$A:$A,A1594))</f>
        <v/>
      </c>
      <c r="I1594" s="4" t="n">
        <v>17673.56</v>
      </c>
      <c r="J1594" t="inlineStr">
        <is>
          <t>actif</t>
        </is>
      </c>
    </row>
    <row r="1595">
      <c r="A1595" t="inlineStr">
        <is>
          <t>CTR-01626</t>
        </is>
      </c>
      <c r="B1595" t="inlineStr">
        <is>
          <t>CLI-01299</t>
        </is>
      </c>
      <c r="C1595" t="inlineStr">
        <is>
          <t>Île-de-France</t>
        </is>
      </c>
      <c r="D1595" t="inlineStr">
        <is>
          <t>auto</t>
        </is>
      </c>
      <c r="E1595" t="inlineStr">
        <is>
          <t>LLD</t>
        </is>
      </c>
      <c r="F1595" t="inlineStr">
        <is>
          <t>2026-02-24</t>
        </is>
      </c>
      <c r="G1595" s="4" t="n">
        <v>32218.5</v>
      </c>
      <c r="H1595" s="4">
        <f>MAX(0,G1595-SUMIFS('Paiements contrat'!$B:$B,'Paiements contrat'!$A:$A,A1595))</f>
        <v/>
      </c>
      <c r="I1595" s="4" t="n">
        <v>31390.8</v>
      </c>
      <c r="J1595" t="inlineStr">
        <is>
          <t>actif</t>
        </is>
      </c>
    </row>
    <row r="1596">
      <c r="A1596" t="inlineStr">
        <is>
          <t>CTR-01627</t>
        </is>
      </c>
      <c r="B1596" t="inlineStr">
        <is>
          <t>CLI-00055</t>
        </is>
      </c>
      <c r="C1596" t="inlineStr">
        <is>
          <t>Île-de-France</t>
        </is>
      </c>
      <c r="D1596" t="inlineStr">
        <is>
          <t>auto</t>
        </is>
      </c>
      <c r="E1596" t="inlineStr">
        <is>
          <t>LLD</t>
        </is>
      </c>
      <c r="F1596" t="inlineStr">
        <is>
          <t>2024-05-25</t>
        </is>
      </c>
      <c r="G1596" s="4" t="n">
        <v>18207.87</v>
      </c>
      <c r="H1596" s="4">
        <f>MAX(0,G1596-SUMIFS('Paiements contrat'!$B:$B,'Paiements contrat'!$A:$A,A1596))</f>
        <v/>
      </c>
      <c r="I1596" s="4" t="n">
        <v>8822.389999999999</v>
      </c>
      <c r="J1596" t="inlineStr">
        <is>
          <t>actif</t>
        </is>
      </c>
    </row>
    <row r="1597">
      <c r="A1597" t="inlineStr">
        <is>
          <t>CTR-01628</t>
        </is>
      </c>
      <c r="B1597" t="inlineStr">
        <is>
          <t>CLI-01326</t>
        </is>
      </c>
      <c r="C1597" t="inlineStr">
        <is>
          <t>Réunion</t>
        </is>
      </c>
      <c r="D1597" t="inlineStr">
        <is>
          <t>auto</t>
        </is>
      </c>
      <c r="E1597" t="inlineStr">
        <is>
          <t>LLD</t>
        </is>
      </c>
      <c r="F1597" t="inlineStr">
        <is>
          <t>2024-08-15</t>
        </is>
      </c>
      <c r="G1597" s="4" t="n">
        <v>56069.41</v>
      </c>
      <c r="H1597" s="4">
        <f>MAX(0,G1597-SUMIFS('Paiements contrat'!$B:$B,'Paiements contrat'!$A:$A,A1597))</f>
        <v/>
      </c>
      <c r="I1597" s="4" t="n">
        <v>29539.77</v>
      </c>
      <c r="J1597" t="inlineStr">
        <is>
          <t>actif</t>
        </is>
      </c>
    </row>
    <row r="1598">
      <c r="A1598" t="inlineStr">
        <is>
          <t>CTR-01629</t>
        </is>
      </c>
      <c r="B1598" t="inlineStr">
        <is>
          <t>CLI-00260</t>
        </is>
      </c>
      <c r="C1598" t="inlineStr">
        <is>
          <t>Île-de-France</t>
        </is>
      </c>
      <c r="D1598" t="inlineStr">
        <is>
          <t>auto</t>
        </is>
      </c>
      <c r="E1598" t="inlineStr">
        <is>
          <t>LOA</t>
        </is>
      </c>
      <c r="F1598" t="inlineStr">
        <is>
          <t>2025-06-20</t>
        </is>
      </c>
      <c r="G1598" s="4" t="n">
        <v>71504.08</v>
      </c>
      <c r="H1598" s="4">
        <f>MAX(0,G1598-SUMIFS('Paiements contrat'!$B:$B,'Paiements contrat'!$A:$A,A1598))</f>
        <v/>
      </c>
      <c r="I1598" s="4" t="n">
        <v>46047.22</v>
      </c>
      <c r="J1598" t="inlineStr">
        <is>
          <t>actif</t>
        </is>
      </c>
    </row>
    <row r="1599">
      <c r="A1599" t="inlineStr">
        <is>
          <t>CTR-01630</t>
        </is>
      </c>
      <c r="B1599" t="inlineStr">
        <is>
          <t>CLI-01224</t>
        </is>
      </c>
      <c r="C1599" t="inlineStr">
        <is>
          <t>Île-de-France</t>
        </is>
      </c>
      <c r="D1599" t="inlineStr">
        <is>
          <t>auto</t>
        </is>
      </c>
      <c r="E1599" t="inlineStr">
        <is>
          <t>LLD</t>
        </is>
      </c>
      <c r="F1599" t="inlineStr">
        <is>
          <t>2024-10-19</t>
        </is>
      </c>
      <c r="G1599" s="4" t="n">
        <v>18125.49</v>
      </c>
      <c r="H1599" s="4">
        <f>MAX(0,G1599-SUMIFS('Paiements contrat'!$B:$B,'Paiements contrat'!$A:$A,A1599))</f>
        <v/>
      </c>
      <c r="I1599" s="4" t="n">
        <v>10085.94</v>
      </c>
      <c r="J1599" t="inlineStr">
        <is>
          <t>actif</t>
        </is>
      </c>
    </row>
    <row r="1600">
      <c r="A1600" t="inlineStr">
        <is>
          <t>CTR-01631</t>
        </is>
      </c>
      <c r="B1600" t="inlineStr">
        <is>
          <t>CLI-01336</t>
        </is>
      </c>
      <c r="C1600" t="inlineStr">
        <is>
          <t>Réunion</t>
        </is>
      </c>
      <c r="D1600" t="inlineStr">
        <is>
          <t>bateau</t>
        </is>
      </c>
      <c r="E1600" t="inlineStr">
        <is>
          <t>LOA</t>
        </is>
      </c>
      <c r="F1600" t="inlineStr">
        <is>
          <t>2024-10-08</t>
        </is>
      </c>
      <c r="G1600" s="4" t="n">
        <v>145867.21</v>
      </c>
      <c r="H1600" s="4">
        <f>MAX(0,G1600-SUMIFS('Paiements contrat'!$B:$B,'Paiements contrat'!$A:$A,A1600))</f>
        <v/>
      </c>
      <c r="I1600" s="4" t="n">
        <v>56043.93999999999</v>
      </c>
      <c r="J1600" t="inlineStr">
        <is>
          <t>actif</t>
        </is>
      </c>
    </row>
    <row r="1601">
      <c r="A1601" t="inlineStr">
        <is>
          <t>CTR-01632</t>
        </is>
      </c>
      <c r="B1601" t="inlineStr">
        <is>
          <t>CLI-01252</t>
        </is>
      </c>
      <c r="C1601" t="inlineStr">
        <is>
          <t>Île-de-France</t>
        </is>
      </c>
      <c r="D1601" t="inlineStr">
        <is>
          <t>auto</t>
        </is>
      </c>
      <c r="E1601" t="inlineStr">
        <is>
          <t>LOA</t>
        </is>
      </c>
      <c r="F1601" t="inlineStr">
        <is>
          <t>2025-05-07</t>
        </is>
      </c>
      <c r="G1601" s="4" t="n">
        <v>9696.76</v>
      </c>
      <c r="H1601" s="4">
        <f>MAX(0,G1601-SUMIFS('Paiements contrat'!$B:$B,'Paiements contrat'!$A:$A,A1601))</f>
        <v/>
      </c>
      <c r="I1601" s="4" t="n">
        <v>7436.88</v>
      </c>
      <c r="J1601" t="inlineStr">
        <is>
          <t>actif</t>
        </is>
      </c>
    </row>
    <row r="1602">
      <c r="A1602" t="inlineStr">
        <is>
          <t>CTR-01633</t>
        </is>
      </c>
      <c r="B1602" t="inlineStr">
        <is>
          <t>CLI-00126</t>
        </is>
      </c>
      <c r="C1602" t="inlineStr">
        <is>
          <t>Guyane</t>
        </is>
      </c>
      <c r="D1602" t="inlineStr">
        <is>
          <t>auto</t>
        </is>
      </c>
      <c r="E1602" t="inlineStr">
        <is>
          <t>LOA</t>
        </is>
      </c>
      <c r="F1602" t="inlineStr">
        <is>
          <t>2026-02-06</t>
        </is>
      </c>
      <c r="G1602" s="4" t="n">
        <v>30390.45</v>
      </c>
      <c r="H1602" s="4">
        <f>MAX(0,G1602-SUMIFS('Paiements contrat'!$B:$B,'Paiements contrat'!$A:$A,A1602))</f>
        <v/>
      </c>
      <c r="I1602" s="4" t="n">
        <v>29632.41</v>
      </c>
      <c r="J1602" t="inlineStr">
        <is>
          <t>actif</t>
        </is>
      </c>
    </row>
    <row r="1603">
      <c r="A1603" t="inlineStr">
        <is>
          <t>CTR-01634</t>
        </is>
      </c>
      <c r="B1603" t="inlineStr">
        <is>
          <t>CLI-00259</t>
        </is>
      </c>
      <c r="C1603" t="inlineStr">
        <is>
          <t>Martinique</t>
        </is>
      </c>
      <c r="D1603" t="inlineStr">
        <is>
          <t>auto</t>
        </is>
      </c>
      <c r="E1603" t="inlineStr">
        <is>
          <t>LLD</t>
        </is>
      </c>
      <c r="F1603" t="inlineStr">
        <is>
          <t>2024-04-16</t>
        </is>
      </c>
      <c r="G1603" s="4" t="n">
        <v>44074.35</v>
      </c>
      <c r="H1603" s="4">
        <f>MAX(0,G1603-SUMIFS('Paiements contrat'!$B:$B,'Paiements contrat'!$A:$A,A1603))</f>
        <v/>
      </c>
      <c r="I1603" s="4" t="n">
        <v>7573.879999999997</v>
      </c>
      <c r="J1603" t="inlineStr">
        <is>
          <t>actif</t>
        </is>
      </c>
    </row>
    <row r="1604">
      <c r="A1604" t="inlineStr">
        <is>
          <t>CTR-01635</t>
        </is>
      </c>
      <c r="B1604" t="inlineStr">
        <is>
          <t>CLI-00382</t>
        </is>
      </c>
      <c r="C1604" t="inlineStr">
        <is>
          <t>Île-de-France</t>
        </is>
      </c>
      <c r="D1604" t="inlineStr">
        <is>
          <t>auto</t>
        </is>
      </c>
      <c r="E1604" t="inlineStr">
        <is>
          <t>LOA</t>
        </is>
      </c>
      <c r="F1604" t="inlineStr">
        <is>
          <t>2025-08-06</t>
        </is>
      </c>
      <c r="G1604" s="4" t="n">
        <v>9433.85</v>
      </c>
      <c r="H1604" s="4">
        <f>MAX(0,G1604-SUMIFS('Paiements contrat'!$B:$B,'Paiements contrat'!$A:$A,A1604))</f>
        <v/>
      </c>
      <c r="I1604" s="4" t="n">
        <v>3960.46</v>
      </c>
      <c r="J1604" t="inlineStr">
        <is>
          <t>actif</t>
        </is>
      </c>
    </row>
    <row r="1605">
      <c r="A1605" t="inlineStr">
        <is>
          <t>CTR-01636</t>
        </is>
      </c>
      <c r="B1605" t="inlineStr">
        <is>
          <t>CLI-01449</t>
        </is>
      </c>
      <c r="C1605" t="inlineStr">
        <is>
          <t>Île-de-France</t>
        </is>
      </c>
      <c r="D1605" t="inlineStr">
        <is>
          <t>auto</t>
        </is>
      </c>
      <c r="E1605" t="inlineStr">
        <is>
          <t>LOA</t>
        </is>
      </c>
      <c r="F1605" t="inlineStr">
        <is>
          <t>2024-11-13</t>
        </is>
      </c>
      <c r="G1605" s="4" t="n">
        <v>23113.46</v>
      </c>
      <c r="H1605" s="4">
        <f>MAX(0,G1605-SUMIFS('Paiements contrat'!$B:$B,'Paiements contrat'!$A:$A,A1605))</f>
        <v/>
      </c>
      <c r="I1605" s="4" t="n">
        <v>3827.309999999998</v>
      </c>
      <c r="J1605" t="inlineStr">
        <is>
          <t>soldé</t>
        </is>
      </c>
    </row>
    <row r="1606">
      <c r="A1606" t="inlineStr">
        <is>
          <t>CTR-01637</t>
        </is>
      </c>
      <c r="B1606" t="inlineStr">
        <is>
          <t>CLI-01370</t>
        </is>
      </c>
      <c r="C1606" t="inlineStr">
        <is>
          <t>Île-de-France</t>
        </is>
      </c>
      <c r="D1606" t="inlineStr">
        <is>
          <t>materiel</t>
        </is>
      </c>
      <c r="E1606" t="inlineStr">
        <is>
          <t>crédit-bail</t>
        </is>
      </c>
      <c r="F1606" t="inlineStr">
        <is>
          <t>2024-06-25</t>
        </is>
      </c>
      <c r="G1606" s="4" t="n">
        <v>30257.85</v>
      </c>
      <c r="H1606" s="4">
        <f>MAX(0,G1606-SUMIFS('Paiements contrat'!$B:$B,'Paiements contrat'!$A:$A,A1606))</f>
        <v/>
      </c>
      <c r="I1606" s="4" t="n">
        <v>3313.743288643924</v>
      </c>
      <c r="J1606" t="inlineStr">
        <is>
          <t>soldé</t>
        </is>
      </c>
    </row>
    <row r="1607">
      <c r="A1607" t="inlineStr">
        <is>
          <t>CTR-01638</t>
        </is>
      </c>
      <c r="B1607" t="inlineStr">
        <is>
          <t>CLI-00092</t>
        </is>
      </c>
      <c r="C1607" t="inlineStr">
        <is>
          <t>Martinique</t>
        </is>
      </c>
      <c r="D1607" t="inlineStr">
        <is>
          <t>materiel</t>
        </is>
      </c>
      <c r="E1607" t="inlineStr">
        <is>
          <t>crédit-bail</t>
        </is>
      </c>
      <c r="F1607" t="inlineStr">
        <is>
          <t>2026-03-27</t>
        </is>
      </c>
      <c r="G1607" s="4" t="n">
        <v>121175.19</v>
      </c>
      <c r="H1607" s="4">
        <f>MAX(0,G1607-SUMIFS('Paiements contrat'!$B:$B,'Paiements contrat'!$A:$A,A1607))</f>
        <v/>
      </c>
      <c r="I1607" s="4" t="n">
        <v>121175.19</v>
      </c>
      <c r="J1607" t="inlineStr">
        <is>
          <t>actif</t>
        </is>
      </c>
    </row>
    <row r="1608">
      <c r="A1608" t="inlineStr">
        <is>
          <t>CTR-01639</t>
        </is>
      </c>
      <c r="B1608" t="inlineStr">
        <is>
          <t>CLI-00167</t>
        </is>
      </c>
      <c r="C1608" t="inlineStr">
        <is>
          <t>Île-de-France</t>
        </is>
      </c>
      <c r="D1608" t="inlineStr">
        <is>
          <t>auto</t>
        </is>
      </c>
      <c r="E1608" t="inlineStr">
        <is>
          <t>LLD</t>
        </is>
      </c>
      <c r="F1608" t="inlineStr">
        <is>
          <t>2024-10-15</t>
        </is>
      </c>
      <c r="G1608" s="4" t="n">
        <v>52193.87</v>
      </c>
      <c r="H1608" s="4">
        <f>MAX(0,G1608-SUMIFS('Paiements contrat'!$B:$B,'Paiements contrat'!$A:$A,A1608))</f>
        <v/>
      </c>
      <c r="I1608" s="4" t="n">
        <v>28193</v>
      </c>
      <c r="J1608" t="inlineStr">
        <is>
          <t>actif</t>
        </is>
      </c>
    </row>
    <row r="1609">
      <c r="A1609" t="inlineStr">
        <is>
          <t>CTR-01640</t>
        </is>
      </c>
      <c r="B1609" t="inlineStr">
        <is>
          <t>CLI-00354</t>
        </is>
      </c>
      <c r="C1609" t="inlineStr">
        <is>
          <t>Île-de-France</t>
        </is>
      </c>
      <c r="D1609" t="inlineStr">
        <is>
          <t>bateau</t>
        </is>
      </c>
      <c r="E1609" t="inlineStr">
        <is>
          <t>LOA</t>
        </is>
      </c>
      <c r="F1609" t="inlineStr">
        <is>
          <t>2024-04-21</t>
        </is>
      </c>
      <c r="G1609" s="4" t="n">
        <v>141356.71</v>
      </c>
      <c r="H1609" s="4">
        <f>MAX(0,G1609-SUMIFS('Paiements contrat'!$B:$B,'Paiements contrat'!$A:$A,A1609))</f>
        <v/>
      </c>
      <c r="I1609" s="4" t="n">
        <v>0</v>
      </c>
      <c r="J1609" t="inlineStr">
        <is>
          <t>soldé</t>
        </is>
      </c>
    </row>
    <row r="1610">
      <c r="A1610" t="inlineStr">
        <is>
          <t>CTR-01641</t>
        </is>
      </c>
      <c r="B1610" t="inlineStr">
        <is>
          <t>CLI-01425</t>
        </is>
      </c>
      <c r="C1610" t="inlineStr">
        <is>
          <t>Martinique</t>
        </is>
      </c>
      <c r="D1610" t="inlineStr">
        <is>
          <t>auto</t>
        </is>
      </c>
      <c r="E1610" t="inlineStr">
        <is>
          <t>LOA</t>
        </is>
      </c>
      <c r="F1610" t="inlineStr">
        <is>
          <t>2024-07-12</t>
        </is>
      </c>
      <c r="G1610" s="4" t="n">
        <v>55634.31</v>
      </c>
      <c r="H1610" s="4">
        <f>MAX(0,G1610-SUMIFS('Paiements contrat'!$B:$B,'Paiements contrat'!$A:$A,A1610))</f>
        <v/>
      </c>
      <c r="I1610" s="4" t="n">
        <v>29166.48904749946</v>
      </c>
      <c r="J1610" t="inlineStr">
        <is>
          <t>actif</t>
        </is>
      </c>
    </row>
    <row r="1611">
      <c r="A1611" t="inlineStr">
        <is>
          <t>CTR-01643</t>
        </is>
      </c>
      <c r="B1611" t="inlineStr">
        <is>
          <t>CLI-00170</t>
        </is>
      </c>
      <c r="C1611" t="inlineStr">
        <is>
          <t>Guadeloupe</t>
        </is>
      </c>
      <c r="D1611" t="inlineStr">
        <is>
          <t>auto</t>
        </is>
      </c>
      <c r="E1611" t="inlineStr">
        <is>
          <t>LOA</t>
        </is>
      </c>
      <c r="F1611" t="inlineStr">
        <is>
          <t>2024-10-15</t>
        </is>
      </c>
      <c r="G1611" s="4" t="n">
        <v>38734.21</v>
      </c>
      <c r="H1611" s="4">
        <f>MAX(0,G1611-SUMIFS('Paiements contrat'!$B:$B,'Paiements contrat'!$A:$A,A1611))</f>
        <v/>
      </c>
      <c r="I1611" s="4" t="n">
        <v>17105.72705891413</v>
      </c>
      <c r="J1611" t="inlineStr">
        <is>
          <t>actif</t>
        </is>
      </c>
    </row>
    <row r="1612">
      <c r="A1612" t="inlineStr">
        <is>
          <t>CTR-01644</t>
        </is>
      </c>
      <c r="B1612" t="inlineStr">
        <is>
          <t>CLI-01013</t>
        </is>
      </c>
      <c r="C1612" t="inlineStr">
        <is>
          <t>Guadeloupe</t>
        </is>
      </c>
      <c r="D1612" t="inlineStr">
        <is>
          <t>auto</t>
        </is>
      </c>
      <c r="E1612" t="inlineStr">
        <is>
          <t>LOA</t>
        </is>
      </c>
      <c r="F1612" t="inlineStr">
        <is>
          <t>2025-06-15</t>
        </is>
      </c>
      <c r="G1612" s="4" t="n">
        <v>53475.65</v>
      </c>
      <c r="H1612" s="4">
        <f>MAX(0,G1612-SUMIFS('Paiements contrat'!$B:$B,'Paiements contrat'!$A:$A,A1612))</f>
        <v/>
      </c>
      <c r="I1612" s="4" t="n">
        <v>46812.58</v>
      </c>
      <c r="J1612" t="inlineStr">
        <is>
          <t>actif</t>
        </is>
      </c>
    </row>
    <row r="1613">
      <c r="A1613" t="inlineStr">
        <is>
          <t>CTR-01645</t>
        </is>
      </c>
      <c r="B1613" t="inlineStr">
        <is>
          <t>CLI-00254</t>
        </is>
      </c>
      <c r="C1613" t="inlineStr">
        <is>
          <t>Martinique</t>
        </is>
      </c>
      <c r="D1613" t="inlineStr">
        <is>
          <t>auto</t>
        </is>
      </c>
      <c r="E1613" t="inlineStr">
        <is>
          <t>LLD</t>
        </is>
      </c>
      <c r="F1613" t="inlineStr">
        <is>
          <t>2025-12-10</t>
        </is>
      </c>
      <c r="G1613" s="4" t="n">
        <v>36281.16</v>
      </c>
      <c r="H1613" s="4">
        <f>MAX(0,G1613-SUMIFS('Paiements contrat'!$B:$B,'Paiements contrat'!$A:$A,A1613))</f>
        <v/>
      </c>
      <c r="I1613" s="4" t="n">
        <v>35143.31</v>
      </c>
      <c r="J1613" t="inlineStr">
        <is>
          <t>actif</t>
        </is>
      </c>
    </row>
    <row r="1614">
      <c r="A1614" t="inlineStr">
        <is>
          <t>CTR-01646</t>
        </is>
      </c>
      <c r="B1614" t="inlineStr">
        <is>
          <t>CLI-00847</t>
        </is>
      </c>
      <c r="C1614" t="inlineStr">
        <is>
          <t>Île-de-France</t>
        </is>
      </c>
      <c r="D1614" t="inlineStr">
        <is>
          <t>auto</t>
        </is>
      </c>
      <c r="E1614" t="inlineStr">
        <is>
          <t>LOA</t>
        </is>
      </c>
      <c r="F1614" t="inlineStr">
        <is>
          <t>2025-04-08</t>
        </is>
      </c>
      <c r="G1614" s="4" t="n">
        <v>57561.5</v>
      </c>
      <c r="H1614" s="4">
        <f>MAX(0,G1614-SUMIFS('Paiements contrat'!$B:$B,'Paiements contrat'!$A:$A,A1614))</f>
        <v/>
      </c>
      <c r="I1614" s="4" t="n">
        <v>48641.19</v>
      </c>
      <c r="J1614" t="inlineStr">
        <is>
          <t>actif</t>
        </is>
      </c>
    </row>
    <row r="1615">
      <c r="A1615" t="inlineStr">
        <is>
          <t>CTR-01647</t>
        </is>
      </c>
      <c r="B1615" t="inlineStr">
        <is>
          <t>CLI-00806</t>
        </is>
      </c>
      <c r="C1615" t="inlineStr">
        <is>
          <t>Île-de-France</t>
        </is>
      </c>
      <c r="D1615" t="inlineStr">
        <is>
          <t>auto</t>
        </is>
      </c>
      <c r="E1615" t="inlineStr">
        <is>
          <t>LOA</t>
        </is>
      </c>
      <c r="F1615" t="inlineStr">
        <is>
          <t>2025-10-13</t>
        </is>
      </c>
      <c r="G1615" s="4" t="n">
        <v>9730.610000000001</v>
      </c>
      <c r="H1615" s="4">
        <f>MAX(0,G1615-SUMIFS('Paiements contrat'!$B:$B,'Paiements contrat'!$A:$A,A1615))</f>
        <v/>
      </c>
      <c r="I1615" s="4" t="n">
        <v>8205.540000000001</v>
      </c>
      <c r="J1615" t="inlineStr">
        <is>
          <t>actif</t>
        </is>
      </c>
    </row>
    <row r="1616">
      <c r="A1616" t="inlineStr">
        <is>
          <t>CTR-01648</t>
        </is>
      </c>
      <c r="B1616" t="inlineStr">
        <is>
          <t>CLI-01122</t>
        </is>
      </c>
      <c r="C1616" t="inlineStr">
        <is>
          <t>Île-de-France</t>
        </is>
      </c>
      <c r="D1616" t="inlineStr">
        <is>
          <t>auto</t>
        </is>
      </c>
      <c r="E1616" t="inlineStr">
        <is>
          <t>LOA</t>
        </is>
      </c>
      <c r="F1616" t="inlineStr">
        <is>
          <t>2024-04-16</t>
        </is>
      </c>
      <c r="G1616" s="4" t="n">
        <v>34769.59</v>
      </c>
      <c r="H1616" s="4">
        <f>MAX(0,G1616-SUMIFS('Paiements contrat'!$B:$B,'Paiements contrat'!$A:$A,A1616))</f>
        <v/>
      </c>
      <c r="I1616" s="4" t="n">
        <v>4354.559999999998</v>
      </c>
      <c r="J1616" t="inlineStr">
        <is>
          <t>actif</t>
        </is>
      </c>
    </row>
    <row r="1617">
      <c r="A1617" t="inlineStr">
        <is>
          <t>CTR-01649</t>
        </is>
      </c>
      <c r="B1617" t="inlineStr">
        <is>
          <t>CLI-00621</t>
        </is>
      </c>
      <c r="C1617" t="inlineStr">
        <is>
          <t>Martinique</t>
        </is>
      </c>
      <c r="D1617" t="inlineStr">
        <is>
          <t>auto</t>
        </is>
      </c>
      <c r="E1617" t="inlineStr">
        <is>
          <t>LOA</t>
        </is>
      </c>
      <c r="F1617" t="inlineStr">
        <is>
          <t>2024-08-15</t>
        </is>
      </c>
      <c r="G1617" s="4" t="n">
        <v>71013.42</v>
      </c>
      <c r="H1617" s="4">
        <f>MAX(0,G1617-SUMIFS('Paiements contrat'!$B:$B,'Paiements contrat'!$A:$A,A1617))</f>
        <v/>
      </c>
      <c r="I1617" s="4" t="n">
        <v>46372.84370959221</v>
      </c>
      <c r="J1617" t="inlineStr">
        <is>
          <t>actif</t>
        </is>
      </c>
    </row>
    <row r="1618">
      <c r="A1618" t="inlineStr">
        <is>
          <t>CTR-01650</t>
        </is>
      </c>
      <c r="B1618" t="inlineStr">
        <is>
          <t>CLI-00006</t>
        </is>
      </c>
      <c r="C1618" t="inlineStr">
        <is>
          <t>Réunion</t>
        </is>
      </c>
      <c r="D1618" t="inlineStr">
        <is>
          <t>auto</t>
        </is>
      </c>
      <c r="E1618" t="inlineStr">
        <is>
          <t>LOA</t>
        </is>
      </c>
      <c r="F1618" t="inlineStr">
        <is>
          <t>2024-09-20</t>
        </is>
      </c>
      <c r="G1618" s="4" t="n">
        <v>40312.14</v>
      </c>
      <c r="H1618" s="4">
        <f>MAX(0,G1618-SUMIFS('Paiements contrat'!$B:$B,'Paiements contrat'!$A:$A,A1618))</f>
        <v/>
      </c>
      <c r="I1618" s="4" t="n">
        <v>23435.13</v>
      </c>
      <c r="J1618" t="inlineStr">
        <is>
          <t>actif</t>
        </is>
      </c>
    </row>
    <row r="1619">
      <c r="A1619" t="inlineStr">
        <is>
          <t>CTR-01651</t>
        </is>
      </c>
      <c r="B1619" t="inlineStr">
        <is>
          <t>CLI-00915</t>
        </is>
      </c>
      <c r="C1619" t="inlineStr">
        <is>
          <t>Île-de-France</t>
        </is>
      </c>
      <c r="D1619" t="inlineStr">
        <is>
          <t>auto</t>
        </is>
      </c>
      <c r="E1619" t="inlineStr">
        <is>
          <t>LOA</t>
        </is>
      </c>
      <c r="F1619" t="inlineStr">
        <is>
          <t>2024-10-02</t>
        </is>
      </c>
      <c r="G1619" s="4" t="n">
        <v>44591.71</v>
      </c>
      <c r="H1619" s="4">
        <f>MAX(0,G1619-SUMIFS('Paiements contrat'!$B:$B,'Paiements contrat'!$A:$A,A1619))</f>
        <v/>
      </c>
      <c r="I1619" s="4" t="n">
        <v>31577.83254707431</v>
      </c>
      <c r="J1619" t="inlineStr">
        <is>
          <t>actif</t>
        </is>
      </c>
    </row>
    <row r="1620">
      <c r="A1620" t="inlineStr">
        <is>
          <t>CTR-01652</t>
        </is>
      </c>
      <c r="B1620" t="inlineStr">
        <is>
          <t>CLI-00344</t>
        </is>
      </c>
      <c r="C1620" t="inlineStr">
        <is>
          <t>Guyane</t>
        </is>
      </c>
      <c r="D1620" t="inlineStr">
        <is>
          <t>materiel</t>
        </is>
      </c>
      <c r="E1620" t="inlineStr">
        <is>
          <t>crédit-bail</t>
        </is>
      </c>
      <c r="F1620" t="inlineStr">
        <is>
          <t>2025-09-19</t>
        </is>
      </c>
      <c r="G1620" s="4" t="n">
        <v>22260.29</v>
      </c>
      <c r="H1620" s="4">
        <f>MAX(0,G1620-SUMIFS('Paiements contrat'!$B:$B,'Paiements contrat'!$A:$A,A1620))</f>
        <v/>
      </c>
      <c r="I1620" s="4" t="n">
        <v>19959.38</v>
      </c>
      <c r="J1620" t="inlineStr">
        <is>
          <t>actif</t>
        </is>
      </c>
    </row>
    <row r="1621">
      <c r="A1621" t="inlineStr">
        <is>
          <t>CTR-01653</t>
        </is>
      </c>
      <c r="B1621" t="inlineStr">
        <is>
          <t>CLI-00976</t>
        </is>
      </c>
      <c r="C1621" t="inlineStr">
        <is>
          <t>Réunion</t>
        </is>
      </c>
      <c r="D1621" t="inlineStr">
        <is>
          <t>bateau</t>
        </is>
      </c>
      <c r="E1621" t="inlineStr">
        <is>
          <t>LOA</t>
        </is>
      </c>
      <c r="F1621" t="inlineStr">
        <is>
          <t>2024-04-21</t>
        </is>
      </c>
      <c r="G1621" s="4" t="n">
        <v>63839.38</v>
      </c>
      <c r="H1621" s="4">
        <f>MAX(0,G1621-SUMIFS('Paiements contrat'!$B:$B,'Paiements contrat'!$A:$A,A1621))</f>
        <v/>
      </c>
      <c r="I1621" s="4" t="n">
        <v>5432.959999999999</v>
      </c>
      <c r="J1621" t="inlineStr">
        <is>
          <t>actif</t>
        </is>
      </c>
    </row>
    <row r="1622">
      <c r="A1622" t="inlineStr">
        <is>
          <t>CTR-01654</t>
        </is>
      </c>
      <c r="B1622" t="inlineStr">
        <is>
          <t>CLI-00134</t>
        </is>
      </c>
      <c r="C1622" t="inlineStr">
        <is>
          <t>Île-de-France</t>
        </is>
      </c>
      <c r="D1622" t="inlineStr">
        <is>
          <t>materiel</t>
        </is>
      </c>
      <c r="E1622" t="inlineStr">
        <is>
          <t>crédit-bail</t>
        </is>
      </c>
      <c r="F1622" t="inlineStr">
        <is>
          <t>2025-03-04</t>
        </is>
      </c>
      <c r="G1622" s="4" t="n">
        <v>62039.59</v>
      </c>
      <c r="H1622" s="4">
        <f>MAX(0,G1622-SUMIFS('Paiements contrat'!$B:$B,'Paiements contrat'!$A:$A,A1622))</f>
        <v/>
      </c>
      <c r="I1622" s="4" t="n">
        <v>43982.84</v>
      </c>
      <c r="J1622" t="inlineStr">
        <is>
          <t>actif</t>
        </is>
      </c>
    </row>
    <row r="1623">
      <c r="A1623" t="inlineStr">
        <is>
          <t>CTR-01655</t>
        </is>
      </c>
      <c r="B1623" t="inlineStr">
        <is>
          <t>CLI-01341</t>
        </is>
      </c>
      <c r="C1623" t="inlineStr">
        <is>
          <t>Île-de-France</t>
        </is>
      </c>
      <c r="D1623" t="inlineStr">
        <is>
          <t>auto</t>
        </is>
      </c>
      <c r="E1623" t="inlineStr">
        <is>
          <t>LOA</t>
        </is>
      </c>
      <c r="F1623" t="inlineStr">
        <is>
          <t>2025-06-17</t>
        </is>
      </c>
      <c r="G1623" s="4" t="n">
        <v>13828.47</v>
      </c>
      <c r="H1623" s="4">
        <f>MAX(0,G1623-SUMIFS('Paiements contrat'!$B:$B,'Paiements contrat'!$A:$A,A1623))</f>
        <v/>
      </c>
      <c r="I1623" s="4" t="n">
        <v>7100.949999999999</v>
      </c>
      <c r="J1623" t="inlineStr">
        <is>
          <t>actif</t>
        </is>
      </c>
    </row>
    <row r="1624">
      <c r="A1624" t="inlineStr">
        <is>
          <t>CTR-01657</t>
        </is>
      </c>
      <c r="B1624" t="inlineStr">
        <is>
          <t>CLI-01378</t>
        </is>
      </c>
      <c r="C1624" t="inlineStr">
        <is>
          <t>Île-de-France</t>
        </is>
      </c>
      <c r="D1624" t="inlineStr">
        <is>
          <t>bateau</t>
        </is>
      </c>
      <c r="E1624" t="inlineStr">
        <is>
          <t>LOA</t>
        </is>
      </c>
      <c r="F1624" t="inlineStr">
        <is>
          <t>2024-08-04</t>
        </is>
      </c>
      <c r="G1624" s="4" t="n">
        <v>123876.52</v>
      </c>
      <c r="H1624" s="4">
        <f>MAX(0,G1624-SUMIFS('Paiements contrat'!$B:$B,'Paiements contrat'!$A:$A,A1624))</f>
        <v/>
      </c>
      <c r="I1624" s="4" t="n">
        <v>92365.57000000001</v>
      </c>
      <c r="J1624" t="inlineStr">
        <is>
          <t>actif</t>
        </is>
      </c>
    </row>
    <row r="1625">
      <c r="A1625" t="inlineStr">
        <is>
          <t>CTR-01658</t>
        </is>
      </c>
      <c r="B1625" t="inlineStr">
        <is>
          <t>CLI-00737</t>
        </is>
      </c>
      <c r="C1625" t="inlineStr">
        <is>
          <t>Île-de-France</t>
        </is>
      </c>
      <c r="D1625" t="inlineStr">
        <is>
          <t>materiel</t>
        </is>
      </c>
      <c r="E1625" t="inlineStr">
        <is>
          <t>crédit-bail</t>
        </is>
      </c>
      <c r="F1625" t="inlineStr">
        <is>
          <t>2024-07-06</t>
        </is>
      </c>
      <c r="G1625" s="4" t="n">
        <v>67492.66</v>
      </c>
      <c r="H1625" s="4">
        <f>MAX(0,G1625-SUMIFS('Paiements contrat'!$B:$B,'Paiements contrat'!$A:$A,A1625))</f>
        <v/>
      </c>
      <c r="I1625" s="4" t="n">
        <v>37559.56897206811</v>
      </c>
      <c r="J1625" t="inlineStr">
        <is>
          <t>actif</t>
        </is>
      </c>
    </row>
    <row r="1626">
      <c r="A1626" t="inlineStr">
        <is>
          <t>CTR-01659</t>
        </is>
      </c>
      <c r="B1626" t="inlineStr">
        <is>
          <t>CLI-01455</t>
        </is>
      </c>
      <c r="C1626" t="inlineStr">
        <is>
          <t>Guadeloupe</t>
        </is>
      </c>
      <c r="D1626" t="inlineStr">
        <is>
          <t>auto</t>
        </is>
      </c>
      <c r="E1626" t="inlineStr">
        <is>
          <t>LOA</t>
        </is>
      </c>
      <c r="F1626" t="inlineStr">
        <is>
          <t>2024-09-17</t>
        </is>
      </c>
      <c r="G1626" s="4" t="n">
        <v>39609.97</v>
      </c>
      <c r="H1626" s="4">
        <f>MAX(0,G1626-SUMIFS('Paiements contrat'!$B:$B,'Paiements contrat'!$A:$A,A1626))</f>
        <v/>
      </c>
      <c r="I1626" s="4" t="n">
        <v>29854.55</v>
      </c>
      <c r="J1626" t="inlineStr">
        <is>
          <t>actif</t>
        </is>
      </c>
    </row>
    <row r="1627">
      <c r="A1627" t="inlineStr">
        <is>
          <t>CTR-01660</t>
        </is>
      </c>
      <c r="B1627" t="inlineStr">
        <is>
          <t>CLI-01355</t>
        </is>
      </c>
      <c r="C1627" t="inlineStr">
        <is>
          <t>Martinique</t>
        </is>
      </c>
      <c r="D1627" t="inlineStr">
        <is>
          <t>auto</t>
        </is>
      </c>
      <c r="E1627" t="inlineStr">
        <is>
          <t>LOA</t>
        </is>
      </c>
      <c r="F1627" t="inlineStr">
        <is>
          <t>2025-02-11</t>
        </is>
      </c>
      <c r="G1627" s="4" t="n">
        <v>63185.96</v>
      </c>
      <c r="H1627" s="4">
        <f>MAX(0,G1627-SUMIFS('Paiements contrat'!$B:$B,'Paiements contrat'!$A:$A,A1627))</f>
        <v/>
      </c>
      <c r="I1627" s="4" t="n">
        <v>53082.28016066362</v>
      </c>
      <c r="J1627" t="inlineStr">
        <is>
          <t>actif</t>
        </is>
      </c>
    </row>
    <row r="1628">
      <c r="A1628" t="inlineStr">
        <is>
          <t>CTR-01661</t>
        </is>
      </c>
      <c r="B1628" t="inlineStr">
        <is>
          <t>CLI-01410</t>
        </is>
      </c>
      <c r="C1628" t="inlineStr">
        <is>
          <t>Île-de-France</t>
        </is>
      </c>
      <c r="D1628" t="inlineStr">
        <is>
          <t>materiel</t>
        </is>
      </c>
      <c r="E1628" t="inlineStr">
        <is>
          <t>crédit-bail</t>
        </is>
      </c>
      <c r="F1628" t="inlineStr">
        <is>
          <t>2024-08-25</t>
        </is>
      </c>
      <c r="G1628" s="4" t="n">
        <v>37266.66</v>
      </c>
      <c r="H1628" s="4">
        <f>MAX(0,G1628-SUMIFS('Paiements contrat'!$B:$B,'Paiements contrat'!$A:$A,A1628))</f>
        <v/>
      </c>
      <c r="I1628" s="4" t="n">
        <v>11903.10082664226</v>
      </c>
      <c r="J1628" t="inlineStr">
        <is>
          <t>actif</t>
        </is>
      </c>
    </row>
    <row r="1629">
      <c r="A1629" t="inlineStr">
        <is>
          <t>CTR-01662</t>
        </is>
      </c>
      <c r="B1629" t="inlineStr">
        <is>
          <t>CLI-00316</t>
        </is>
      </c>
      <c r="C1629" t="inlineStr">
        <is>
          <t>Île-de-France</t>
        </is>
      </c>
      <c r="D1629" t="inlineStr">
        <is>
          <t>materiel</t>
        </is>
      </c>
      <c r="E1629" t="inlineStr">
        <is>
          <t>crédit-bail</t>
        </is>
      </c>
      <c r="F1629" t="inlineStr">
        <is>
          <t>2026-02-15</t>
        </is>
      </c>
      <c r="G1629" s="4" t="n">
        <v>76569.28</v>
      </c>
      <c r="H1629" s="4">
        <f>MAX(0,G1629-SUMIFS('Paiements contrat'!$B:$B,'Paiements contrat'!$A:$A,A1629))</f>
        <v/>
      </c>
      <c r="I1629" s="4" t="n">
        <v>75397.39999999999</v>
      </c>
      <c r="J1629" t="inlineStr">
        <is>
          <t>actif</t>
        </is>
      </c>
    </row>
    <row r="1630">
      <c r="A1630" t="inlineStr">
        <is>
          <t>CTR-01663</t>
        </is>
      </c>
      <c r="B1630" t="inlineStr">
        <is>
          <t>CLI-00096</t>
        </is>
      </c>
      <c r="C1630" t="inlineStr">
        <is>
          <t>Île-de-France</t>
        </is>
      </c>
      <c r="D1630" t="inlineStr">
        <is>
          <t>bateau</t>
        </is>
      </c>
      <c r="E1630" t="inlineStr">
        <is>
          <t>LOA</t>
        </is>
      </c>
      <c r="F1630" t="inlineStr">
        <is>
          <t>2026-01-20</t>
        </is>
      </c>
      <c r="G1630" s="4" t="n">
        <v>119247.13</v>
      </c>
      <c r="H1630" s="4">
        <f>MAX(0,G1630-SUMIFS('Paiements contrat'!$B:$B,'Paiements contrat'!$A:$A,A1630))</f>
        <v/>
      </c>
      <c r="I1630" s="4" t="n">
        <v>112922.94</v>
      </c>
      <c r="J1630" t="inlineStr">
        <is>
          <t>actif</t>
        </is>
      </c>
    </row>
    <row r="1631">
      <c r="A1631" t="inlineStr">
        <is>
          <t>CTR-01665</t>
        </is>
      </c>
      <c r="B1631" t="inlineStr">
        <is>
          <t>CLI-00096</t>
        </is>
      </c>
      <c r="C1631" t="inlineStr">
        <is>
          <t>Île-de-France</t>
        </is>
      </c>
      <c r="D1631" t="inlineStr">
        <is>
          <t>auto</t>
        </is>
      </c>
      <c r="E1631" t="inlineStr">
        <is>
          <t>LOA</t>
        </is>
      </c>
      <c r="F1631" t="inlineStr">
        <is>
          <t>2026-03-15</t>
        </is>
      </c>
      <c r="G1631" s="4" t="n">
        <v>72615.28999999999</v>
      </c>
      <c r="H1631" s="4">
        <f>MAX(0,G1631-SUMIFS('Paiements contrat'!$B:$B,'Paiements contrat'!$A:$A,A1631))</f>
        <v/>
      </c>
      <c r="I1631" s="4" t="n">
        <v>72615.28999999999</v>
      </c>
      <c r="J1631" t="inlineStr">
        <is>
          <t>actif</t>
        </is>
      </c>
    </row>
    <row r="1632">
      <c r="A1632" t="inlineStr">
        <is>
          <t>CTR-01666</t>
        </is>
      </c>
      <c r="B1632" t="inlineStr">
        <is>
          <t>CLI-01300</t>
        </is>
      </c>
      <c r="C1632" t="inlineStr">
        <is>
          <t>Île-de-France</t>
        </is>
      </c>
      <c r="D1632" t="inlineStr">
        <is>
          <t>materiel</t>
        </is>
      </c>
      <c r="E1632" t="inlineStr">
        <is>
          <t>crédit-bail</t>
        </is>
      </c>
      <c r="F1632" t="inlineStr">
        <is>
          <t>2026-01-18</t>
        </is>
      </c>
      <c r="G1632" s="4" t="n">
        <v>162674.25</v>
      </c>
      <c r="H1632" s="4">
        <f>MAX(0,G1632-SUMIFS('Paiements contrat'!$B:$B,'Paiements contrat'!$A:$A,A1632))</f>
        <v/>
      </c>
      <c r="I1632" s="4" t="n">
        <v>154118.39</v>
      </c>
      <c r="J1632" t="inlineStr">
        <is>
          <t>actif</t>
        </is>
      </c>
    </row>
    <row r="1633">
      <c r="A1633" t="inlineStr">
        <is>
          <t>CTR-01667</t>
        </is>
      </c>
      <c r="B1633" t="inlineStr">
        <is>
          <t>CLI-00256</t>
        </is>
      </c>
      <c r="C1633" t="inlineStr">
        <is>
          <t>Île-de-France</t>
        </is>
      </c>
      <c r="D1633" t="inlineStr">
        <is>
          <t>materiel</t>
        </is>
      </c>
      <c r="E1633" t="inlineStr">
        <is>
          <t>crédit-bail</t>
        </is>
      </c>
      <c r="F1633" t="inlineStr">
        <is>
          <t>2024-05-03</t>
        </is>
      </c>
      <c r="G1633" s="4" t="n">
        <v>138906.16</v>
      </c>
      <c r="H1633" s="4">
        <f>MAX(0,G1633-SUMIFS('Paiements contrat'!$B:$B,'Paiements contrat'!$A:$A,A1633))</f>
        <v/>
      </c>
      <c r="I1633" s="4" t="n">
        <v>67116.24606527878</v>
      </c>
      <c r="J1633" t="inlineStr">
        <is>
          <t>actif</t>
        </is>
      </c>
    </row>
    <row r="1634">
      <c r="A1634" t="inlineStr">
        <is>
          <t>CTR-01668</t>
        </is>
      </c>
      <c r="B1634" t="inlineStr">
        <is>
          <t>CLI-00957</t>
        </is>
      </c>
      <c r="C1634" t="inlineStr">
        <is>
          <t>Guadeloupe</t>
        </is>
      </c>
      <c r="D1634" t="inlineStr">
        <is>
          <t>auto</t>
        </is>
      </c>
      <c r="E1634" t="inlineStr">
        <is>
          <t>LOA</t>
        </is>
      </c>
      <c r="F1634" t="inlineStr">
        <is>
          <t>2025-06-16</t>
        </is>
      </c>
      <c r="G1634" s="4" t="n">
        <v>66306.75999999999</v>
      </c>
      <c r="H1634" s="4">
        <f>MAX(0,G1634-SUMIFS('Paiements contrat'!$B:$B,'Paiements contrat'!$A:$A,A1634))</f>
        <v/>
      </c>
      <c r="I1634" s="4" t="n">
        <v>22404.78999999999</v>
      </c>
      <c r="J1634" t="inlineStr">
        <is>
          <t>actif</t>
        </is>
      </c>
    </row>
    <row r="1635">
      <c r="A1635" t="inlineStr">
        <is>
          <t>CTR-01669</t>
        </is>
      </c>
      <c r="B1635" t="inlineStr">
        <is>
          <t>CLI-01199</t>
        </is>
      </c>
      <c r="C1635" t="inlineStr">
        <is>
          <t>Île-de-France</t>
        </is>
      </c>
      <c r="D1635" t="inlineStr">
        <is>
          <t>auto</t>
        </is>
      </c>
      <c r="E1635" t="inlineStr">
        <is>
          <t>LOA</t>
        </is>
      </c>
      <c r="F1635" t="inlineStr">
        <is>
          <t>2024-11-06</t>
        </is>
      </c>
      <c r="G1635" s="4" t="n">
        <v>27178.46</v>
      </c>
      <c r="H1635" s="4">
        <f>MAX(0,G1635-SUMIFS('Paiements contrat'!$B:$B,'Paiements contrat'!$A:$A,A1635))</f>
        <v/>
      </c>
      <c r="I1635" s="4" t="n">
        <v>16681.1</v>
      </c>
      <c r="J1635" t="inlineStr">
        <is>
          <t>actif</t>
        </is>
      </c>
    </row>
    <row r="1636">
      <c r="A1636" t="inlineStr">
        <is>
          <t>CTR-01670</t>
        </is>
      </c>
      <c r="B1636" t="inlineStr">
        <is>
          <t>CLI-01372</t>
        </is>
      </c>
      <c r="C1636" t="inlineStr">
        <is>
          <t>Île-de-France</t>
        </is>
      </c>
      <c r="D1636" t="inlineStr">
        <is>
          <t>materiel</t>
        </is>
      </c>
      <c r="E1636" t="inlineStr">
        <is>
          <t>crédit-bail</t>
        </is>
      </c>
      <c r="F1636" t="inlineStr">
        <is>
          <t>2024-10-24</t>
        </is>
      </c>
      <c r="G1636" s="4" t="n">
        <v>161269.59</v>
      </c>
      <c r="H1636" s="4">
        <f>MAX(0,G1636-SUMIFS('Paiements contrat'!$B:$B,'Paiements contrat'!$A:$A,A1636))</f>
        <v/>
      </c>
      <c r="I1636" s="4" t="n">
        <v>65365.41754551347</v>
      </c>
      <c r="J1636" t="inlineStr">
        <is>
          <t>actif</t>
        </is>
      </c>
    </row>
    <row r="1637">
      <c r="A1637" t="inlineStr">
        <is>
          <t>CTR-01671</t>
        </is>
      </c>
      <c r="B1637" t="inlineStr">
        <is>
          <t>CLI-00604</t>
        </is>
      </c>
      <c r="C1637" t="inlineStr">
        <is>
          <t>Île-de-France</t>
        </is>
      </c>
      <c r="D1637" t="inlineStr">
        <is>
          <t>materiel</t>
        </is>
      </c>
      <c r="E1637" t="inlineStr">
        <is>
          <t>crédit-bail</t>
        </is>
      </c>
      <c r="F1637" t="inlineStr">
        <is>
          <t>2025-07-27</t>
        </is>
      </c>
      <c r="G1637" s="4" t="n">
        <v>103724.15</v>
      </c>
      <c r="H1637" s="4">
        <f>MAX(0,G1637-SUMIFS('Paiements contrat'!$B:$B,'Paiements contrat'!$A:$A,A1637))</f>
        <v/>
      </c>
      <c r="I1637" s="4" t="n">
        <v>84694.12</v>
      </c>
      <c r="J1637" t="inlineStr">
        <is>
          <t>actif</t>
        </is>
      </c>
    </row>
    <row r="1638">
      <c r="A1638" t="inlineStr">
        <is>
          <t>CTR-01672</t>
        </is>
      </c>
      <c r="B1638" t="inlineStr">
        <is>
          <t>CLI-01357</t>
        </is>
      </c>
      <c r="C1638" t="inlineStr">
        <is>
          <t>Réunion</t>
        </is>
      </c>
      <c r="D1638" t="inlineStr">
        <is>
          <t>auto</t>
        </is>
      </c>
      <c r="E1638" t="inlineStr">
        <is>
          <t>LOA</t>
        </is>
      </c>
      <c r="F1638" t="inlineStr">
        <is>
          <t>2024-04-23</t>
        </is>
      </c>
      <c r="G1638" s="4" t="n">
        <v>64579.54</v>
      </c>
      <c r="H1638" s="4">
        <f>MAX(0,G1638-SUMIFS('Paiements contrat'!$B:$B,'Paiements contrat'!$A:$A,A1638))</f>
        <v/>
      </c>
      <c r="I1638" s="4" t="n">
        <v>16108.04</v>
      </c>
      <c r="J1638" t="inlineStr">
        <is>
          <t>soldé</t>
        </is>
      </c>
    </row>
    <row r="1639">
      <c r="A1639" t="inlineStr">
        <is>
          <t>CTR-01673</t>
        </is>
      </c>
      <c r="B1639" t="inlineStr">
        <is>
          <t>CLI-01301</t>
        </is>
      </c>
      <c r="C1639" t="inlineStr">
        <is>
          <t>Martinique</t>
        </is>
      </c>
      <c r="D1639" t="inlineStr">
        <is>
          <t>auto</t>
        </is>
      </c>
      <c r="E1639" t="inlineStr">
        <is>
          <t>LLD</t>
        </is>
      </c>
      <c r="F1639" t="inlineStr">
        <is>
          <t>2026-01-24</t>
        </is>
      </c>
      <c r="G1639" s="4" t="n">
        <v>51172.12</v>
      </c>
      <c r="H1639" s="4">
        <f>MAX(0,G1639-SUMIFS('Paiements contrat'!$B:$B,'Paiements contrat'!$A:$A,A1639))</f>
        <v/>
      </c>
      <c r="I1639" s="4" t="n">
        <v>48634.82</v>
      </c>
      <c r="J1639" t="inlineStr">
        <is>
          <t>actif</t>
        </is>
      </c>
    </row>
    <row r="1640">
      <c r="A1640" t="inlineStr">
        <is>
          <t>CTR-01674</t>
        </is>
      </c>
      <c r="B1640" t="inlineStr">
        <is>
          <t>CLI-01031</t>
        </is>
      </c>
      <c r="C1640" t="inlineStr">
        <is>
          <t>Île-de-France</t>
        </is>
      </c>
      <c r="D1640" t="inlineStr">
        <is>
          <t>auto</t>
        </is>
      </c>
      <c r="E1640" t="inlineStr">
        <is>
          <t>LOA</t>
        </is>
      </c>
      <c r="F1640" t="inlineStr">
        <is>
          <t>2025-04-23</t>
        </is>
      </c>
      <c r="G1640" s="4" t="n">
        <v>12324.56</v>
      </c>
      <c r="H1640" s="4">
        <f>MAX(0,G1640-SUMIFS('Paiements contrat'!$B:$B,'Paiements contrat'!$A:$A,A1640))</f>
        <v/>
      </c>
      <c r="I1640" s="4" t="n">
        <v>8249.858337825695</v>
      </c>
      <c r="J1640" t="inlineStr">
        <is>
          <t>actif</t>
        </is>
      </c>
    </row>
    <row r="1641">
      <c r="A1641" t="inlineStr">
        <is>
          <t>CTR-01675</t>
        </is>
      </c>
      <c r="B1641" t="inlineStr">
        <is>
          <t>CLI-01474</t>
        </is>
      </c>
      <c r="C1641" t="inlineStr">
        <is>
          <t>Guadeloupe</t>
        </is>
      </c>
      <c r="D1641" t="inlineStr">
        <is>
          <t>materiel</t>
        </is>
      </c>
      <c r="E1641" t="inlineStr">
        <is>
          <t>crédit-bail</t>
        </is>
      </c>
      <c r="F1641" t="inlineStr">
        <is>
          <t>2024-12-14</t>
        </is>
      </c>
      <c r="G1641" s="4" t="n">
        <v>103409.03</v>
      </c>
      <c r="H1641" s="4">
        <f>MAX(0,G1641-SUMIFS('Paiements contrat'!$B:$B,'Paiements contrat'!$A:$A,A1641))</f>
        <v/>
      </c>
      <c r="I1641" s="4" t="n">
        <v>67589.83</v>
      </c>
      <c r="J1641" t="inlineStr">
        <is>
          <t>actif</t>
        </is>
      </c>
    </row>
    <row r="1642">
      <c r="A1642" t="inlineStr">
        <is>
          <t>CTR-01676</t>
        </is>
      </c>
      <c r="B1642" t="inlineStr">
        <is>
          <t>CLI-00338</t>
        </is>
      </c>
      <c r="C1642" t="inlineStr">
        <is>
          <t>Île-de-France</t>
        </is>
      </c>
      <c r="D1642" t="inlineStr">
        <is>
          <t>auto</t>
        </is>
      </c>
      <c r="E1642" t="inlineStr">
        <is>
          <t>LOA</t>
        </is>
      </c>
      <c r="F1642" t="inlineStr">
        <is>
          <t>2026-01-27</t>
        </is>
      </c>
      <c r="G1642" s="4" t="n">
        <v>24400.61</v>
      </c>
      <c r="H1642" s="4">
        <f>MAX(0,G1642-SUMIFS('Paiements contrat'!$B:$B,'Paiements contrat'!$A:$A,A1642))</f>
        <v/>
      </c>
      <c r="I1642" s="4" t="n">
        <v>22492.17</v>
      </c>
      <c r="J1642" t="inlineStr">
        <is>
          <t>actif</t>
        </is>
      </c>
    </row>
    <row r="1643">
      <c r="A1643" t="inlineStr">
        <is>
          <t>CTR-01677</t>
        </is>
      </c>
      <c r="B1643" t="inlineStr">
        <is>
          <t>CLI-00190</t>
        </is>
      </c>
      <c r="C1643" t="inlineStr">
        <is>
          <t>Île-de-France</t>
        </is>
      </c>
      <c r="D1643" t="inlineStr">
        <is>
          <t>materiel</t>
        </is>
      </c>
      <c r="E1643" t="inlineStr">
        <is>
          <t>crédit-bail</t>
        </is>
      </c>
      <c r="F1643" t="inlineStr">
        <is>
          <t>2025-06-21</t>
        </is>
      </c>
      <c r="G1643" s="4" t="n">
        <v>59210.2</v>
      </c>
      <c r="H1643" s="4">
        <f>MAX(0,G1643-SUMIFS('Paiements contrat'!$B:$B,'Paiements contrat'!$A:$A,A1643))</f>
        <v/>
      </c>
      <c r="I1643" s="4" t="n">
        <v>15212.21999999999</v>
      </c>
      <c r="J1643" t="inlineStr">
        <is>
          <t>actif</t>
        </is>
      </c>
    </row>
    <row r="1644">
      <c r="A1644" t="inlineStr">
        <is>
          <t>CTR-01678</t>
        </is>
      </c>
      <c r="B1644" t="inlineStr">
        <is>
          <t>CLI-00263</t>
        </is>
      </c>
      <c r="C1644" t="inlineStr">
        <is>
          <t>Île-de-France</t>
        </is>
      </c>
      <c r="D1644" t="inlineStr">
        <is>
          <t>auto</t>
        </is>
      </c>
      <c r="E1644" t="inlineStr">
        <is>
          <t>LLD</t>
        </is>
      </c>
      <c r="F1644" t="inlineStr">
        <is>
          <t>2025-09-02</t>
        </is>
      </c>
      <c r="G1644" s="4" t="n">
        <v>54543.97</v>
      </c>
      <c r="H1644" s="4">
        <f>MAX(0,G1644-SUMIFS('Paiements contrat'!$B:$B,'Paiements contrat'!$A:$A,A1644))</f>
        <v/>
      </c>
      <c r="I1644" s="4" t="n">
        <v>41794.92</v>
      </c>
      <c r="J1644" t="inlineStr">
        <is>
          <t>actif</t>
        </is>
      </c>
    </row>
    <row r="1645">
      <c r="A1645" t="inlineStr">
        <is>
          <t>CTR-01679</t>
        </is>
      </c>
      <c r="B1645" t="inlineStr">
        <is>
          <t>CLI-00018</t>
        </is>
      </c>
      <c r="C1645" t="inlineStr">
        <is>
          <t>Île-de-France</t>
        </is>
      </c>
      <c r="D1645" t="inlineStr">
        <is>
          <t>auto</t>
        </is>
      </c>
      <c r="E1645" t="inlineStr">
        <is>
          <t>LOA</t>
        </is>
      </c>
      <c r="F1645" t="inlineStr">
        <is>
          <t>2025-06-15</t>
        </is>
      </c>
      <c r="G1645" s="4" t="n">
        <v>15061.02</v>
      </c>
      <c r="H1645" s="4">
        <f>MAX(0,G1645-SUMIFS('Paiements contrat'!$B:$B,'Paiements contrat'!$A:$A,A1645))</f>
        <v/>
      </c>
      <c r="I1645" s="4" t="n">
        <v>12001.62017251636</v>
      </c>
      <c r="J1645" t="inlineStr">
        <is>
          <t>actif</t>
        </is>
      </c>
    </row>
    <row r="1646">
      <c r="A1646" t="inlineStr">
        <is>
          <t>CTR-01680</t>
        </is>
      </c>
      <c r="B1646" t="inlineStr">
        <is>
          <t>CLI-00436</t>
        </is>
      </c>
      <c r="C1646" t="inlineStr">
        <is>
          <t>Île-de-France</t>
        </is>
      </c>
      <c r="D1646" t="inlineStr">
        <is>
          <t>auto</t>
        </is>
      </c>
      <c r="E1646" t="inlineStr">
        <is>
          <t>LOA</t>
        </is>
      </c>
      <c r="F1646" t="inlineStr">
        <is>
          <t>2024-11-09</t>
        </is>
      </c>
      <c r="G1646" s="4" t="n">
        <v>11844.91</v>
      </c>
      <c r="H1646" s="4">
        <f>MAX(0,G1646-SUMIFS('Paiements contrat'!$B:$B,'Paiements contrat'!$A:$A,A1646))</f>
        <v/>
      </c>
      <c r="I1646" s="4" t="n">
        <v>6821.17</v>
      </c>
      <c r="J1646" t="inlineStr">
        <is>
          <t>actif</t>
        </is>
      </c>
    </row>
    <row r="1647">
      <c r="A1647" t="inlineStr">
        <is>
          <t>CTR-01681</t>
        </is>
      </c>
      <c r="B1647" t="inlineStr">
        <is>
          <t>CLI-01165</t>
        </is>
      </c>
      <c r="C1647" t="inlineStr">
        <is>
          <t>Île-de-France</t>
        </is>
      </c>
      <c r="D1647" t="inlineStr">
        <is>
          <t>materiel</t>
        </is>
      </c>
      <c r="E1647" t="inlineStr">
        <is>
          <t>crédit-bail</t>
        </is>
      </c>
      <c r="F1647" t="inlineStr">
        <is>
          <t>2024-04-26</t>
        </is>
      </c>
      <c r="G1647" s="4" t="n">
        <v>122704.88</v>
      </c>
      <c r="H1647" s="4">
        <f>MAX(0,G1647-SUMIFS('Paiements contrat'!$B:$B,'Paiements contrat'!$A:$A,A1647))</f>
        <v/>
      </c>
      <c r="I1647" s="4" t="n">
        <v>73045.85000000001</v>
      </c>
      <c r="J1647" t="inlineStr">
        <is>
          <t>actif</t>
        </is>
      </c>
    </row>
    <row r="1648">
      <c r="A1648" t="inlineStr">
        <is>
          <t>CTR-01682</t>
        </is>
      </c>
      <c r="B1648" t="inlineStr">
        <is>
          <t>CLI-01101</t>
        </is>
      </c>
      <c r="C1648" t="inlineStr">
        <is>
          <t>Île-de-France</t>
        </is>
      </c>
      <c r="D1648" t="inlineStr">
        <is>
          <t>materiel</t>
        </is>
      </c>
      <c r="E1648" t="inlineStr">
        <is>
          <t>crédit-bail</t>
        </is>
      </c>
      <c r="F1648" t="inlineStr">
        <is>
          <t>2024-10-15</t>
        </is>
      </c>
      <c r="G1648" s="4" t="n">
        <v>142043.85</v>
      </c>
      <c r="H1648" s="4">
        <f>MAX(0,G1648-SUMIFS('Paiements contrat'!$B:$B,'Paiements contrat'!$A:$A,A1648))</f>
        <v/>
      </c>
      <c r="I1648" s="4" t="n">
        <v>58796.26357905037</v>
      </c>
      <c r="J1648" t="inlineStr">
        <is>
          <t>contentieux</t>
        </is>
      </c>
    </row>
    <row r="1649">
      <c r="A1649" t="inlineStr">
        <is>
          <t>CTR-01683</t>
        </is>
      </c>
      <c r="B1649" t="inlineStr">
        <is>
          <t>CLI-00746</t>
        </is>
      </c>
      <c r="C1649" t="inlineStr">
        <is>
          <t>Île-de-France</t>
        </is>
      </c>
      <c r="D1649" t="inlineStr">
        <is>
          <t>materiel</t>
        </is>
      </c>
      <c r="E1649" t="inlineStr">
        <is>
          <t>crédit-bail</t>
        </is>
      </c>
      <c r="F1649" t="inlineStr">
        <is>
          <t>2024-07-07</t>
        </is>
      </c>
      <c r="G1649" s="4" t="n">
        <v>118717.64</v>
      </c>
      <c r="H1649" s="4">
        <f>MAX(0,G1649-SUMIFS('Paiements contrat'!$B:$B,'Paiements contrat'!$A:$A,A1649))</f>
        <v/>
      </c>
      <c r="I1649" s="4" t="n">
        <v>72134.30286949809</v>
      </c>
      <c r="J1649" t="inlineStr">
        <is>
          <t>actif</t>
        </is>
      </c>
    </row>
    <row r="1650">
      <c r="A1650" t="inlineStr">
        <is>
          <t>CTR-01684</t>
        </is>
      </c>
      <c r="B1650" t="inlineStr">
        <is>
          <t>CLI-00777</t>
        </is>
      </c>
      <c r="C1650" t="inlineStr">
        <is>
          <t>Île-de-France</t>
        </is>
      </c>
      <c r="D1650" t="inlineStr">
        <is>
          <t>auto</t>
        </is>
      </c>
      <c r="E1650" t="inlineStr">
        <is>
          <t>LLD</t>
        </is>
      </c>
      <c r="F1650" t="inlineStr">
        <is>
          <t>2025-04-21</t>
        </is>
      </c>
      <c r="G1650" s="4" t="n">
        <v>56860.64</v>
      </c>
      <c r="H1650" s="4">
        <f>MAX(0,G1650-SUMIFS('Paiements contrat'!$B:$B,'Paiements contrat'!$A:$A,A1650))</f>
        <v/>
      </c>
      <c r="I1650" s="4" t="n">
        <v>40131.03</v>
      </c>
      <c r="J1650" t="inlineStr">
        <is>
          <t>actif</t>
        </is>
      </c>
    </row>
    <row r="1651">
      <c r="A1651" t="inlineStr">
        <is>
          <t>CTR-01685</t>
        </is>
      </c>
      <c r="B1651" t="inlineStr">
        <is>
          <t>CLI-00463</t>
        </is>
      </c>
      <c r="C1651" t="inlineStr">
        <is>
          <t>Guyane</t>
        </is>
      </c>
      <c r="D1651" t="inlineStr">
        <is>
          <t>materiel</t>
        </is>
      </c>
      <c r="E1651" t="inlineStr">
        <is>
          <t>crédit-bail</t>
        </is>
      </c>
      <c r="F1651" t="inlineStr">
        <is>
          <t>2025-12-25</t>
        </is>
      </c>
      <c r="G1651" s="4" t="n">
        <v>36298.85</v>
      </c>
      <c r="H1651" s="4">
        <f>MAX(0,G1651-SUMIFS('Paiements contrat'!$B:$B,'Paiements contrat'!$A:$A,A1651))</f>
        <v/>
      </c>
      <c r="I1651" s="4" t="n">
        <v>32020.36</v>
      </c>
      <c r="J1651" t="inlineStr">
        <is>
          <t>actif</t>
        </is>
      </c>
    </row>
    <row r="1652">
      <c r="A1652" t="inlineStr">
        <is>
          <t>CTR-01686</t>
        </is>
      </c>
      <c r="B1652" t="inlineStr">
        <is>
          <t>CLI-01238</t>
        </is>
      </c>
      <c r="C1652" t="inlineStr">
        <is>
          <t>Guyane</t>
        </is>
      </c>
      <c r="D1652" t="inlineStr">
        <is>
          <t>auto</t>
        </is>
      </c>
      <c r="E1652" t="inlineStr">
        <is>
          <t>LOA</t>
        </is>
      </c>
      <c r="F1652" t="inlineStr">
        <is>
          <t>2025-04-03</t>
        </is>
      </c>
      <c r="G1652" s="4" t="n">
        <v>78715.85000000001</v>
      </c>
      <c r="H1652" s="4">
        <f>MAX(0,G1652-SUMIFS('Paiements contrat'!$B:$B,'Paiements contrat'!$A:$A,A1652))</f>
        <v/>
      </c>
      <c r="I1652" s="4" t="n">
        <v>38222.23665738137</v>
      </c>
      <c r="J1652" t="inlineStr">
        <is>
          <t>actif</t>
        </is>
      </c>
    </row>
    <row r="1653">
      <c r="A1653" t="inlineStr">
        <is>
          <t>CTR-01687</t>
        </is>
      </c>
      <c r="B1653" t="inlineStr">
        <is>
          <t>CLI-00597</t>
        </is>
      </c>
      <c r="C1653" t="inlineStr">
        <is>
          <t>Île-de-France</t>
        </is>
      </c>
      <c r="D1653" t="inlineStr">
        <is>
          <t>auto</t>
        </is>
      </c>
      <c r="E1653" t="inlineStr">
        <is>
          <t>LOA</t>
        </is>
      </c>
      <c r="F1653" t="inlineStr">
        <is>
          <t>2024-12-19</t>
        </is>
      </c>
      <c r="G1653" s="4" t="n">
        <v>71440.25</v>
      </c>
      <c r="H1653" s="4">
        <f>MAX(0,G1653-SUMIFS('Paiements contrat'!$B:$B,'Paiements contrat'!$A:$A,A1653))</f>
        <v/>
      </c>
      <c r="I1653" s="4" t="n">
        <v>55790.66760394807</v>
      </c>
      <c r="J1653" t="inlineStr">
        <is>
          <t>actif</t>
        </is>
      </c>
    </row>
    <row r="1654">
      <c r="A1654" t="inlineStr">
        <is>
          <t>CTR-01688</t>
        </is>
      </c>
      <c r="B1654" t="inlineStr">
        <is>
          <t>CLI-00099</t>
        </is>
      </c>
      <c r="C1654" t="inlineStr">
        <is>
          <t>Île-de-France</t>
        </is>
      </c>
      <c r="D1654" t="inlineStr">
        <is>
          <t>materiel</t>
        </is>
      </c>
      <c r="E1654" t="inlineStr">
        <is>
          <t>crédit-bail</t>
        </is>
      </c>
      <c r="F1654" t="inlineStr">
        <is>
          <t>2024-08-18</t>
        </is>
      </c>
      <c r="G1654" s="4" t="n">
        <v>80718.67</v>
      </c>
      <c r="H1654" s="4">
        <f>MAX(0,G1654-SUMIFS('Paiements contrat'!$B:$B,'Paiements contrat'!$A:$A,A1654))</f>
        <v/>
      </c>
      <c r="I1654" s="4" t="n">
        <v>17612.57999999999</v>
      </c>
      <c r="J1654" t="inlineStr">
        <is>
          <t>actif</t>
        </is>
      </c>
    </row>
    <row r="1655">
      <c r="A1655" t="inlineStr">
        <is>
          <t>CTR-01689</t>
        </is>
      </c>
      <c r="B1655" t="inlineStr">
        <is>
          <t>CLI-00400</t>
        </is>
      </c>
      <c r="C1655" t="inlineStr">
        <is>
          <t>Guyane</t>
        </is>
      </c>
      <c r="D1655" t="inlineStr">
        <is>
          <t>auto</t>
        </is>
      </c>
      <c r="E1655" t="inlineStr">
        <is>
          <t>LLD</t>
        </is>
      </c>
      <c r="F1655" t="inlineStr">
        <is>
          <t>2025-04-19</t>
        </is>
      </c>
      <c r="G1655" s="4" t="n">
        <v>17028.07</v>
      </c>
      <c r="H1655" s="4">
        <f>MAX(0,G1655-SUMIFS('Paiements contrat'!$B:$B,'Paiements contrat'!$A:$A,A1655))</f>
        <v/>
      </c>
      <c r="I1655" s="4" t="n">
        <v>10230.74</v>
      </c>
      <c r="J1655" t="inlineStr">
        <is>
          <t>actif</t>
        </is>
      </c>
    </row>
    <row r="1656">
      <c r="A1656" t="inlineStr">
        <is>
          <t>CTR-01690</t>
        </is>
      </c>
      <c r="B1656" t="inlineStr">
        <is>
          <t>CLI-00440</t>
        </is>
      </c>
      <c r="C1656" t="inlineStr">
        <is>
          <t>Réunion</t>
        </is>
      </c>
      <c r="D1656" t="inlineStr">
        <is>
          <t>auto</t>
        </is>
      </c>
      <c r="E1656" t="inlineStr">
        <is>
          <t>LOA</t>
        </is>
      </c>
      <c r="F1656" t="inlineStr">
        <is>
          <t>2024-11-15</t>
        </is>
      </c>
      <c r="G1656" s="4" t="n">
        <v>38069.97</v>
      </c>
      <c r="H1656" s="4">
        <f>MAX(0,G1656-SUMIFS('Paiements contrat'!$B:$B,'Paiements contrat'!$A:$A,A1656))</f>
        <v/>
      </c>
      <c r="I1656" s="4" t="n">
        <v>23238.02</v>
      </c>
      <c r="J1656" t="inlineStr">
        <is>
          <t>actif</t>
        </is>
      </c>
    </row>
    <row r="1657">
      <c r="A1657" t="inlineStr">
        <is>
          <t>CTR-01691</t>
        </is>
      </c>
      <c r="B1657" t="inlineStr">
        <is>
          <t>CLI-00879</t>
        </is>
      </c>
      <c r="C1657" t="inlineStr">
        <is>
          <t>Martinique</t>
        </is>
      </c>
      <c r="D1657" t="inlineStr">
        <is>
          <t>materiel</t>
        </is>
      </c>
      <c r="E1657" t="inlineStr">
        <is>
          <t>crédit-bail</t>
        </is>
      </c>
      <c r="F1657" t="inlineStr">
        <is>
          <t>2025-11-07</t>
        </is>
      </c>
      <c r="G1657" s="4" t="n">
        <v>151963.2</v>
      </c>
      <c r="H1657" s="4">
        <f>MAX(0,G1657-SUMIFS('Paiements contrat'!$B:$B,'Paiements contrat'!$A:$A,A1657))</f>
        <v/>
      </c>
      <c r="I1657" s="4" t="n">
        <v>140584.88</v>
      </c>
      <c r="J1657" t="inlineStr">
        <is>
          <t>actif</t>
        </is>
      </c>
    </row>
    <row r="1658">
      <c r="A1658" t="inlineStr">
        <is>
          <t>CTR-01692</t>
        </is>
      </c>
      <c r="B1658" t="inlineStr">
        <is>
          <t>CLI-00482</t>
        </is>
      </c>
      <c r="C1658" t="inlineStr">
        <is>
          <t>Île-de-France</t>
        </is>
      </c>
      <c r="D1658" t="inlineStr">
        <is>
          <t>auto</t>
        </is>
      </c>
      <c r="E1658" t="inlineStr">
        <is>
          <t>LOA</t>
        </is>
      </c>
      <c r="F1658" t="inlineStr">
        <is>
          <t>2024-07-24</t>
        </is>
      </c>
      <c r="G1658" s="4" t="n">
        <v>11066.98</v>
      </c>
      <c r="H1658" s="4">
        <f>MAX(0,G1658-SUMIFS('Paiements contrat'!$B:$B,'Paiements contrat'!$A:$A,A1658))</f>
        <v/>
      </c>
      <c r="I1658" s="4" t="n">
        <v>2832.609999999999</v>
      </c>
      <c r="J1658" t="inlineStr">
        <is>
          <t>actif</t>
        </is>
      </c>
    </row>
    <row r="1659">
      <c r="A1659" t="inlineStr">
        <is>
          <t>CTR-01693</t>
        </is>
      </c>
      <c r="B1659" t="inlineStr">
        <is>
          <t>CLI-00184</t>
        </is>
      </c>
      <c r="C1659" t="inlineStr">
        <is>
          <t>Martinique</t>
        </is>
      </c>
      <c r="D1659" t="inlineStr">
        <is>
          <t>auto</t>
        </is>
      </c>
      <c r="E1659" t="inlineStr">
        <is>
          <t>LOA</t>
        </is>
      </c>
      <c r="F1659" t="inlineStr">
        <is>
          <t>2024-04-16</t>
        </is>
      </c>
      <c r="G1659" s="4" t="n">
        <v>46142.44</v>
      </c>
      <c r="H1659" s="4">
        <f>MAX(0,G1659-SUMIFS('Paiements contrat'!$B:$B,'Paiements contrat'!$A:$A,A1659))</f>
        <v/>
      </c>
      <c r="I1659" s="4" t="n">
        <v>5062.18</v>
      </c>
      <c r="J1659" t="inlineStr">
        <is>
          <t>soldé</t>
        </is>
      </c>
    </row>
    <row r="1660">
      <c r="A1660" t="inlineStr">
        <is>
          <t>CTR-01694</t>
        </is>
      </c>
      <c r="B1660" t="inlineStr">
        <is>
          <t>CLI-00037</t>
        </is>
      </c>
      <c r="C1660" t="inlineStr">
        <is>
          <t>Île-de-France</t>
        </is>
      </c>
      <c r="D1660" t="inlineStr">
        <is>
          <t>auto</t>
        </is>
      </c>
      <c r="E1660" t="inlineStr">
        <is>
          <t>LOA</t>
        </is>
      </c>
      <c r="F1660" t="inlineStr">
        <is>
          <t>2025-02-14</t>
        </is>
      </c>
      <c r="G1660" s="4" t="n">
        <v>9101.15</v>
      </c>
      <c r="H1660" s="4">
        <f>MAX(0,G1660-SUMIFS('Paiements contrat'!$B:$B,'Paiements contrat'!$A:$A,A1660))</f>
        <v/>
      </c>
      <c r="I1660" s="4" t="n">
        <v>5366.77</v>
      </c>
      <c r="J1660" t="inlineStr">
        <is>
          <t>actif</t>
        </is>
      </c>
    </row>
    <row r="1661">
      <c r="A1661" t="inlineStr">
        <is>
          <t>CTR-01695</t>
        </is>
      </c>
      <c r="B1661" t="inlineStr">
        <is>
          <t>CLI-00332</t>
        </is>
      </c>
      <c r="C1661" t="inlineStr">
        <is>
          <t>Guyane</t>
        </is>
      </c>
      <c r="D1661" t="inlineStr">
        <is>
          <t>auto</t>
        </is>
      </c>
      <c r="E1661" t="inlineStr">
        <is>
          <t>LOA</t>
        </is>
      </c>
      <c r="F1661" t="inlineStr">
        <is>
          <t>2024-05-06</t>
        </is>
      </c>
      <c r="G1661" s="4" t="n">
        <v>50237.6</v>
      </c>
      <c r="H1661" s="4">
        <f>MAX(0,G1661-SUMIFS('Paiements contrat'!$B:$B,'Paiements contrat'!$A:$A,A1661))</f>
        <v/>
      </c>
      <c r="I1661" s="4" t="n">
        <v>9437.430183958641</v>
      </c>
      <c r="J1661" t="inlineStr">
        <is>
          <t>soldé</t>
        </is>
      </c>
    </row>
    <row r="1662">
      <c r="A1662" t="inlineStr">
        <is>
          <t>CTR-01696</t>
        </is>
      </c>
      <c r="B1662" t="inlineStr">
        <is>
          <t>CLI-00704</t>
        </is>
      </c>
      <c r="C1662" t="inlineStr">
        <is>
          <t>Île-de-France</t>
        </is>
      </c>
      <c r="D1662" t="inlineStr">
        <is>
          <t>bateau</t>
        </is>
      </c>
      <c r="E1662" t="inlineStr">
        <is>
          <t>LOA</t>
        </is>
      </c>
      <c r="F1662" t="inlineStr">
        <is>
          <t>2024-07-18</t>
        </is>
      </c>
      <c r="G1662" s="4" t="n">
        <v>132941.94</v>
      </c>
      <c r="H1662" s="4">
        <f>MAX(0,G1662-SUMIFS('Paiements contrat'!$B:$B,'Paiements contrat'!$A:$A,A1662))</f>
        <v/>
      </c>
      <c r="I1662" s="4" t="n">
        <v>0</v>
      </c>
      <c r="J1662" t="inlineStr">
        <is>
          <t>soldé</t>
        </is>
      </c>
    </row>
    <row r="1663">
      <c r="A1663" t="inlineStr">
        <is>
          <t>CTR-01697</t>
        </is>
      </c>
      <c r="B1663" t="inlineStr">
        <is>
          <t>CLI-01288</t>
        </is>
      </c>
      <c r="C1663" t="inlineStr">
        <is>
          <t>Île-de-France</t>
        </is>
      </c>
      <c r="D1663" t="inlineStr">
        <is>
          <t>auto</t>
        </is>
      </c>
      <c r="E1663" t="inlineStr">
        <is>
          <t>LOA</t>
        </is>
      </c>
      <c r="F1663" t="inlineStr">
        <is>
          <t>2025-05-01</t>
        </is>
      </c>
      <c r="G1663" s="4" t="n">
        <v>20675.45</v>
      </c>
      <c r="H1663" s="4">
        <f>MAX(0,G1663-SUMIFS('Paiements contrat'!$B:$B,'Paiements contrat'!$A:$A,A1663))</f>
        <v/>
      </c>
      <c r="I1663" s="4" t="n">
        <v>15295.24</v>
      </c>
      <c r="J1663" t="inlineStr">
        <is>
          <t>actif</t>
        </is>
      </c>
    </row>
    <row r="1664">
      <c r="A1664" t="inlineStr">
        <is>
          <t>CTR-01698</t>
        </is>
      </c>
      <c r="B1664" t="inlineStr">
        <is>
          <t>CLI-00913</t>
        </is>
      </c>
      <c r="C1664" t="inlineStr">
        <is>
          <t>Guadeloupe</t>
        </is>
      </c>
      <c r="D1664" t="inlineStr">
        <is>
          <t>materiel</t>
        </is>
      </c>
      <c r="E1664" t="inlineStr">
        <is>
          <t>crédit-bail</t>
        </is>
      </c>
      <c r="F1664" t="inlineStr">
        <is>
          <t>2024-12-03</t>
        </is>
      </c>
      <c r="G1664" s="4" t="n">
        <v>37727.98</v>
      </c>
      <c r="H1664" s="4">
        <f>MAX(0,G1664-SUMIFS('Paiements contrat'!$B:$B,'Paiements contrat'!$A:$A,A1664))</f>
        <v/>
      </c>
      <c r="I1664" s="4" t="n">
        <v>30668.45660205518</v>
      </c>
      <c r="J1664" t="inlineStr">
        <is>
          <t>actif</t>
        </is>
      </c>
    </row>
    <row r="1665">
      <c r="A1665" t="inlineStr">
        <is>
          <t>CTR-01699</t>
        </is>
      </c>
      <c r="B1665" t="inlineStr">
        <is>
          <t>CLI-00680</t>
        </is>
      </c>
      <c r="C1665" t="inlineStr">
        <is>
          <t>Île-de-France</t>
        </is>
      </c>
      <c r="D1665" t="inlineStr">
        <is>
          <t>materiel</t>
        </is>
      </c>
      <c r="E1665" t="inlineStr">
        <is>
          <t>crédit-bail</t>
        </is>
      </c>
      <c r="F1665" t="inlineStr">
        <is>
          <t>2025-05-08</t>
        </is>
      </c>
      <c r="G1665" s="4" t="n">
        <v>48921.55</v>
      </c>
      <c r="H1665" s="4">
        <f>MAX(0,G1665-SUMIFS('Paiements contrat'!$B:$B,'Paiements contrat'!$A:$A,A1665))</f>
        <v/>
      </c>
      <c r="I1665" s="4" t="n">
        <v>37275.26</v>
      </c>
      <c r="J1665" t="inlineStr">
        <is>
          <t>actif</t>
        </is>
      </c>
    </row>
    <row r="1666">
      <c r="A1666" t="inlineStr">
        <is>
          <t>CTR-01700</t>
        </is>
      </c>
      <c r="B1666" t="inlineStr">
        <is>
          <t>CLI-00819</t>
        </is>
      </c>
      <c r="C1666" t="inlineStr">
        <is>
          <t>Île-de-France</t>
        </is>
      </c>
      <c r="D1666" t="inlineStr">
        <is>
          <t>auto</t>
        </is>
      </c>
      <c r="E1666" t="inlineStr">
        <is>
          <t>LOA</t>
        </is>
      </c>
      <c r="F1666" t="inlineStr">
        <is>
          <t>2025-05-01</t>
        </is>
      </c>
      <c r="G1666" s="4" t="n">
        <v>59339.55</v>
      </c>
      <c r="H1666" s="4">
        <f>MAX(0,G1666-SUMIFS('Paiements contrat'!$B:$B,'Paiements contrat'!$A:$A,A1666))</f>
        <v/>
      </c>
      <c r="I1666" s="4" t="n">
        <v>49663.59</v>
      </c>
      <c r="J1666" t="inlineStr">
        <is>
          <t>contentieux</t>
        </is>
      </c>
    </row>
    <row r="1667">
      <c r="A1667" t="inlineStr">
        <is>
          <t>CTR-01701</t>
        </is>
      </c>
      <c r="B1667" t="inlineStr">
        <is>
          <t>CLI-00920</t>
        </is>
      </c>
      <c r="C1667" t="inlineStr">
        <is>
          <t>Île-de-France</t>
        </is>
      </c>
      <c r="D1667" t="inlineStr">
        <is>
          <t>auto</t>
        </is>
      </c>
      <c r="E1667" t="inlineStr">
        <is>
          <t>LOA</t>
        </is>
      </c>
      <c r="F1667" t="inlineStr">
        <is>
          <t>2025-01-03</t>
        </is>
      </c>
      <c r="G1667" s="4" t="n">
        <v>35056.59</v>
      </c>
      <c r="H1667" s="4">
        <f>MAX(0,G1667-SUMIFS('Paiements contrat'!$B:$B,'Paiements contrat'!$A:$A,A1667))</f>
        <v/>
      </c>
      <c r="I1667" s="4" t="n">
        <v>23100.78</v>
      </c>
      <c r="J1667" t="inlineStr">
        <is>
          <t>actif</t>
        </is>
      </c>
    </row>
    <row r="1668">
      <c r="A1668" t="inlineStr">
        <is>
          <t>CTR-01702</t>
        </is>
      </c>
      <c r="B1668" t="inlineStr">
        <is>
          <t>CLI-01394</t>
        </is>
      </c>
      <c r="C1668" t="inlineStr">
        <is>
          <t>Île-de-France</t>
        </is>
      </c>
      <c r="D1668" t="inlineStr">
        <is>
          <t>bateau</t>
        </is>
      </c>
      <c r="E1668" t="inlineStr">
        <is>
          <t>LOA</t>
        </is>
      </c>
      <c r="F1668" t="inlineStr">
        <is>
          <t>2025-08-02</t>
        </is>
      </c>
      <c r="G1668" s="4" t="n">
        <v>106444.59</v>
      </c>
      <c r="H1668" s="4">
        <f>MAX(0,G1668-SUMIFS('Paiements contrat'!$B:$B,'Paiements contrat'!$A:$A,A1668))</f>
        <v/>
      </c>
      <c r="I1668" s="4" t="n">
        <v>65713.28999999999</v>
      </c>
      <c r="J1668" t="inlineStr">
        <is>
          <t>actif</t>
        </is>
      </c>
    </row>
    <row r="1669">
      <c r="A1669" t="inlineStr">
        <is>
          <t>CTR-01703</t>
        </is>
      </c>
      <c r="B1669" t="inlineStr">
        <is>
          <t>CLI-01149</t>
        </is>
      </c>
      <c r="C1669" t="inlineStr">
        <is>
          <t>Île-de-France</t>
        </is>
      </c>
      <c r="D1669" t="inlineStr">
        <is>
          <t>materiel</t>
        </is>
      </c>
      <c r="E1669" t="inlineStr">
        <is>
          <t>crédit-bail</t>
        </is>
      </c>
      <c r="F1669" t="inlineStr">
        <is>
          <t>2025-03-07</t>
        </is>
      </c>
      <c r="G1669" s="4" t="n">
        <v>28165.27</v>
      </c>
      <c r="H1669" s="4">
        <f>MAX(0,G1669-SUMIFS('Paiements contrat'!$B:$B,'Paiements contrat'!$A:$A,A1669))</f>
        <v/>
      </c>
      <c r="I1669" s="4" t="n">
        <v>17999.16</v>
      </c>
      <c r="J1669" t="inlineStr">
        <is>
          <t>actif</t>
        </is>
      </c>
    </row>
    <row r="1670">
      <c r="A1670" t="inlineStr">
        <is>
          <t>CTR-01704</t>
        </is>
      </c>
      <c r="B1670" t="inlineStr">
        <is>
          <t>CLI-00723</t>
        </is>
      </c>
      <c r="C1670" t="inlineStr">
        <is>
          <t>Île-de-France</t>
        </is>
      </c>
      <c r="D1670" t="inlineStr">
        <is>
          <t>materiel</t>
        </is>
      </c>
      <c r="E1670" t="inlineStr">
        <is>
          <t>crédit-bail</t>
        </is>
      </c>
      <c r="F1670" t="inlineStr">
        <is>
          <t>2025-11-02</t>
        </is>
      </c>
      <c r="G1670" s="4" t="n">
        <v>93255.38</v>
      </c>
      <c r="H1670" s="4">
        <f>MAX(0,G1670-SUMIFS('Paiements contrat'!$B:$B,'Paiements contrat'!$A:$A,A1670))</f>
        <v/>
      </c>
      <c r="I1670" s="4" t="n">
        <v>83462.48000000001</v>
      </c>
      <c r="J1670" t="inlineStr">
        <is>
          <t>actif</t>
        </is>
      </c>
    </row>
    <row r="1671">
      <c r="A1671" t="inlineStr">
        <is>
          <t>CTR-01705</t>
        </is>
      </c>
      <c r="B1671" t="inlineStr">
        <is>
          <t>CLI-00973</t>
        </is>
      </c>
      <c r="C1671" t="inlineStr">
        <is>
          <t>Réunion</t>
        </is>
      </c>
      <c r="D1671" t="inlineStr">
        <is>
          <t>auto</t>
        </is>
      </c>
      <c r="E1671" t="inlineStr">
        <is>
          <t>LOA</t>
        </is>
      </c>
      <c r="F1671" t="inlineStr">
        <is>
          <t>2024-10-15</t>
        </is>
      </c>
      <c r="G1671" s="4" t="n">
        <v>16617.44</v>
      </c>
      <c r="H1671" s="4">
        <f>MAX(0,G1671-SUMIFS('Paiements contrat'!$B:$B,'Paiements contrat'!$A:$A,A1671))</f>
        <v/>
      </c>
      <c r="I1671" s="4" t="n">
        <v>9856.019999999999</v>
      </c>
      <c r="J1671" t="inlineStr">
        <is>
          <t>actif</t>
        </is>
      </c>
    </row>
    <row r="1672">
      <c r="A1672" t="inlineStr">
        <is>
          <t>CTR-01706</t>
        </is>
      </c>
      <c r="B1672" t="inlineStr">
        <is>
          <t>CLI-00462</t>
        </is>
      </c>
      <c r="C1672" t="inlineStr">
        <is>
          <t>Île-de-France</t>
        </is>
      </c>
      <c r="D1672" t="inlineStr">
        <is>
          <t>auto</t>
        </is>
      </c>
      <c r="E1672" t="inlineStr">
        <is>
          <t>LLD</t>
        </is>
      </c>
      <c r="F1672" t="inlineStr">
        <is>
          <t>2024-09-13</t>
        </is>
      </c>
      <c r="G1672" s="4" t="n">
        <v>59020.87</v>
      </c>
      <c r="H1672" s="4">
        <f>MAX(0,G1672-SUMIFS('Paiements contrat'!$B:$B,'Paiements contrat'!$A:$A,A1672))</f>
        <v/>
      </c>
      <c r="I1672" s="4" t="n">
        <v>15653.85</v>
      </c>
      <c r="J1672" t="inlineStr">
        <is>
          <t>contentieux</t>
        </is>
      </c>
    </row>
    <row r="1673">
      <c r="A1673" t="inlineStr">
        <is>
          <t>CTR-01707</t>
        </is>
      </c>
      <c r="B1673" t="inlineStr">
        <is>
          <t>CLI-00014</t>
        </is>
      </c>
      <c r="C1673" t="inlineStr">
        <is>
          <t>Île-de-France</t>
        </is>
      </c>
      <c r="D1673" t="inlineStr">
        <is>
          <t>auto</t>
        </is>
      </c>
      <c r="E1673" t="inlineStr">
        <is>
          <t>LLD</t>
        </is>
      </c>
      <c r="F1673" t="inlineStr">
        <is>
          <t>2025-02-01</t>
        </is>
      </c>
      <c r="G1673" s="4" t="n">
        <v>53249.4</v>
      </c>
      <c r="H1673" s="4">
        <f>MAX(0,G1673-SUMIFS('Paiements contrat'!$B:$B,'Paiements contrat'!$A:$A,A1673))</f>
        <v/>
      </c>
      <c r="I1673" s="4" t="n">
        <v>41862.64</v>
      </c>
      <c r="J1673" t="inlineStr">
        <is>
          <t>actif</t>
        </is>
      </c>
    </row>
    <row r="1674">
      <c r="A1674" t="inlineStr">
        <is>
          <t>CTR-01708</t>
        </is>
      </c>
      <c r="B1674" t="inlineStr">
        <is>
          <t>CLI-00556</t>
        </is>
      </c>
      <c r="C1674" t="inlineStr">
        <is>
          <t>Île-de-France</t>
        </is>
      </c>
      <c r="D1674" t="inlineStr">
        <is>
          <t>auto</t>
        </is>
      </c>
      <c r="E1674" t="inlineStr">
        <is>
          <t>LOA</t>
        </is>
      </c>
      <c r="F1674" t="inlineStr">
        <is>
          <t>2025-10-13</t>
        </is>
      </c>
      <c r="G1674" s="4" t="n">
        <v>51772.87</v>
      </c>
      <c r="H1674" s="4">
        <f>MAX(0,G1674-SUMIFS('Paiements contrat'!$B:$B,'Paiements contrat'!$A:$A,A1674))</f>
        <v/>
      </c>
      <c r="I1674" s="4" t="n">
        <v>47818.93</v>
      </c>
      <c r="J1674" t="inlineStr">
        <is>
          <t>actif</t>
        </is>
      </c>
    </row>
    <row r="1675">
      <c r="A1675" t="inlineStr">
        <is>
          <t>CTR-01709</t>
        </is>
      </c>
      <c r="B1675" t="inlineStr">
        <is>
          <t>CLI-01344</t>
        </is>
      </c>
      <c r="C1675" t="inlineStr">
        <is>
          <t>Île-de-France</t>
        </is>
      </c>
      <c r="D1675" t="inlineStr">
        <is>
          <t>auto</t>
        </is>
      </c>
      <c r="E1675" t="inlineStr">
        <is>
          <t>LLD</t>
        </is>
      </c>
      <c r="F1675" t="inlineStr">
        <is>
          <t>2024-04-23</t>
        </is>
      </c>
      <c r="G1675" s="4" t="n">
        <v>30973.31</v>
      </c>
      <c r="H1675" s="4">
        <f>MAX(0,G1675-SUMIFS('Paiements contrat'!$B:$B,'Paiements contrat'!$A:$A,A1675))</f>
        <v/>
      </c>
      <c r="I1675" s="4" t="n">
        <v>21639.18671984016</v>
      </c>
      <c r="J1675" t="inlineStr">
        <is>
          <t>actif</t>
        </is>
      </c>
    </row>
    <row r="1676">
      <c r="A1676" t="inlineStr">
        <is>
          <t>CTR-01710</t>
        </is>
      </c>
      <c r="B1676" t="inlineStr">
        <is>
          <t>CLI-00574</t>
        </is>
      </c>
      <c r="C1676" t="inlineStr">
        <is>
          <t>Martinique</t>
        </is>
      </c>
      <c r="D1676" t="inlineStr">
        <is>
          <t>auto</t>
        </is>
      </c>
      <c r="E1676" t="inlineStr">
        <is>
          <t>LLD</t>
        </is>
      </c>
      <c r="F1676" t="inlineStr">
        <is>
          <t>2024-06-15</t>
        </is>
      </c>
      <c r="G1676" s="4" t="n">
        <v>19934.46</v>
      </c>
      <c r="H1676" s="4">
        <f>MAX(0,G1676-SUMIFS('Paiements contrat'!$B:$B,'Paiements contrat'!$A:$A,A1676))</f>
        <v/>
      </c>
      <c r="I1676" s="4" t="n">
        <v>3409.399999999998</v>
      </c>
      <c r="J1676" t="inlineStr">
        <is>
          <t>actif</t>
        </is>
      </c>
    </row>
    <row r="1677">
      <c r="A1677" t="inlineStr">
        <is>
          <t>CTR-01711</t>
        </is>
      </c>
      <c r="B1677" t="inlineStr">
        <is>
          <t>CLI-01149</t>
        </is>
      </c>
      <c r="C1677" t="inlineStr">
        <is>
          <t>Île-de-France</t>
        </is>
      </c>
      <c r="D1677" t="inlineStr">
        <is>
          <t>bateau</t>
        </is>
      </c>
      <c r="E1677" t="inlineStr">
        <is>
          <t>LOA</t>
        </is>
      </c>
      <c r="F1677" t="inlineStr">
        <is>
          <t>2024-12-01</t>
        </is>
      </c>
      <c r="G1677" s="4" t="n">
        <v>46377.9</v>
      </c>
      <c r="H1677" s="4">
        <f>MAX(0,G1677-SUMIFS('Paiements contrat'!$B:$B,'Paiements contrat'!$A:$A,A1677))</f>
        <v/>
      </c>
      <c r="I1677" s="4" t="n">
        <v>21906.81</v>
      </c>
      <c r="J1677" t="inlineStr">
        <is>
          <t>actif</t>
        </is>
      </c>
    </row>
    <row r="1678">
      <c r="A1678" t="inlineStr">
        <is>
          <t>CTR-01712</t>
        </is>
      </c>
      <c r="B1678" t="inlineStr">
        <is>
          <t>CLI-00018</t>
        </is>
      </c>
      <c r="C1678" t="inlineStr">
        <is>
          <t>Île-de-France</t>
        </is>
      </c>
      <c r="D1678" t="inlineStr">
        <is>
          <t>bateau</t>
        </is>
      </c>
      <c r="E1678" t="inlineStr">
        <is>
          <t>LOA</t>
        </is>
      </c>
      <c r="F1678" t="inlineStr">
        <is>
          <t>2024-10-01</t>
        </is>
      </c>
      <c r="G1678" s="4" t="n">
        <v>244792.39</v>
      </c>
      <c r="H1678" s="4">
        <f>MAX(0,G1678-SUMIFS('Paiements contrat'!$B:$B,'Paiements contrat'!$A:$A,A1678))</f>
        <v/>
      </c>
      <c r="I1678" s="4" t="n">
        <v>133996.86</v>
      </c>
      <c r="J1678" t="inlineStr">
        <is>
          <t>actif</t>
        </is>
      </c>
    </row>
    <row r="1679">
      <c r="A1679" t="inlineStr">
        <is>
          <t>CTR-01713</t>
        </is>
      </c>
      <c r="B1679" t="inlineStr">
        <is>
          <t>CLI-00988</t>
        </is>
      </c>
      <c r="C1679" t="inlineStr">
        <is>
          <t>Guadeloupe</t>
        </is>
      </c>
      <c r="D1679" t="inlineStr">
        <is>
          <t>auto</t>
        </is>
      </c>
      <c r="E1679" t="inlineStr">
        <is>
          <t>LLD</t>
        </is>
      </c>
      <c r="F1679" t="inlineStr">
        <is>
          <t>2024-04-20</t>
        </is>
      </c>
      <c r="G1679" s="4" t="n">
        <v>59950.2</v>
      </c>
      <c r="H1679" s="4">
        <f>MAX(0,G1679-SUMIFS('Paiements contrat'!$B:$B,'Paiements contrat'!$A:$A,A1679))</f>
        <v/>
      </c>
      <c r="I1679" s="4" t="n">
        <v>26668.32</v>
      </c>
      <c r="J1679" t="inlineStr">
        <is>
          <t>actif</t>
        </is>
      </c>
    </row>
    <row r="1680">
      <c r="A1680" t="inlineStr">
        <is>
          <t>CTR-01714</t>
        </is>
      </c>
      <c r="B1680" t="inlineStr">
        <is>
          <t>CLI-00805</t>
        </is>
      </c>
      <c r="C1680" t="inlineStr">
        <is>
          <t>Île-de-France</t>
        </is>
      </c>
      <c r="D1680" t="inlineStr">
        <is>
          <t>auto</t>
        </is>
      </c>
      <c r="E1680" t="inlineStr">
        <is>
          <t>LOA</t>
        </is>
      </c>
      <c r="F1680" t="inlineStr">
        <is>
          <t>2024-05-10</t>
        </is>
      </c>
      <c r="G1680" s="4" t="n">
        <v>60289.08</v>
      </c>
      <c r="H1680" s="4">
        <f>MAX(0,G1680-SUMIFS('Paiements contrat'!$B:$B,'Paiements contrat'!$A:$A,A1680))</f>
        <v/>
      </c>
      <c r="I1680" s="4" t="n">
        <v>14769.44718482225</v>
      </c>
      <c r="J1680" t="inlineStr">
        <is>
          <t>actif</t>
        </is>
      </c>
    </row>
    <row r="1681">
      <c r="A1681" t="inlineStr">
        <is>
          <t>CTR-01715</t>
        </is>
      </c>
      <c r="B1681" t="inlineStr">
        <is>
          <t>CLI-00576</t>
        </is>
      </c>
      <c r="C1681" t="inlineStr">
        <is>
          <t>Martinique</t>
        </is>
      </c>
      <c r="D1681" t="inlineStr">
        <is>
          <t>materiel</t>
        </is>
      </c>
      <c r="E1681" t="inlineStr">
        <is>
          <t>crédit-bail</t>
        </is>
      </c>
      <c r="F1681" t="inlineStr">
        <is>
          <t>2024-10-19</t>
        </is>
      </c>
      <c r="G1681" s="4" t="n">
        <v>138636.2</v>
      </c>
      <c r="H1681" s="4">
        <f>MAX(0,G1681-SUMIFS('Paiements contrat'!$B:$B,'Paiements contrat'!$A:$A,A1681))</f>
        <v/>
      </c>
      <c r="I1681" s="4" t="n">
        <v>79629.45000000001</v>
      </c>
      <c r="J1681" t="inlineStr">
        <is>
          <t>actif</t>
        </is>
      </c>
    </row>
    <row r="1682">
      <c r="A1682" t="inlineStr">
        <is>
          <t>CTR-01716</t>
        </is>
      </c>
      <c r="B1682" t="inlineStr">
        <is>
          <t>CLI-00665</t>
        </is>
      </c>
      <c r="C1682" t="inlineStr">
        <is>
          <t>Île-de-France</t>
        </is>
      </c>
      <c r="D1682" t="inlineStr">
        <is>
          <t>auto</t>
        </is>
      </c>
      <c r="E1682" t="inlineStr">
        <is>
          <t>LLD</t>
        </is>
      </c>
      <c r="F1682" t="inlineStr">
        <is>
          <t>2025-02-04</t>
        </is>
      </c>
      <c r="G1682" s="4" t="n">
        <v>66051.3</v>
      </c>
      <c r="H1682" s="4">
        <f>MAX(0,G1682-SUMIFS('Paiements contrat'!$B:$B,'Paiements contrat'!$A:$A,A1682))</f>
        <v/>
      </c>
      <c r="I1682" s="4" t="n">
        <v>39109.81</v>
      </c>
      <c r="J1682" t="inlineStr">
        <is>
          <t>actif</t>
        </is>
      </c>
    </row>
    <row r="1683">
      <c r="A1683" t="inlineStr">
        <is>
          <t>CTR-01717</t>
        </is>
      </c>
      <c r="B1683" t="inlineStr">
        <is>
          <t>CLI-00606</t>
        </is>
      </c>
      <c r="C1683" t="inlineStr">
        <is>
          <t>Île-de-France</t>
        </is>
      </c>
      <c r="D1683" t="inlineStr">
        <is>
          <t>auto</t>
        </is>
      </c>
      <c r="E1683" t="inlineStr">
        <is>
          <t>LLD</t>
        </is>
      </c>
      <c r="F1683" t="inlineStr">
        <is>
          <t>2024-07-05</t>
        </is>
      </c>
      <c r="G1683" s="4" t="n">
        <v>8092.45</v>
      </c>
      <c r="H1683" s="4">
        <f>MAX(0,G1683-SUMIFS('Paiements contrat'!$B:$B,'Paiements contrat'!$A:$A,A1683))</f>
        <v/>
      </c>
      <c r="I1683" s="4" t="n">
        <v>1377.84</v>
      </c>
      <c r="J1683" t="inlineStr">
        <is>
          <t>soldé</t>
        </is>
      </c>
    </row>
    <row r="1684">
      <c r="A1684" t="inlineStr">
        <is>
          <t>CTR-01718</t>
        </is>
      </c>
      <c r="B1684" t="inlineStr">
        <is>
          <t>CLI-00354</t>
        </is>
      </c>
      <c r="C1684" t="inlineStr">
        <is>
          <t>Île-de-France</t>
        </is>
      </c>
      <c r="D1684" t="inlineStr">
        <is>
          <t>auto</t>
        </is>
      </c>
      <c r="E1684" t="inlineStr">
        <is>
          <t>LOA</t>
        </is>
      </c>
      <c r="F1684" t="inlineStr">
        <is>
          <t>2024-04-24</t>
        </is>
      </c>
      <c r="G1684" s="4" t="n">
        <v>17338.32</v>
      </c>
      <c r="H1684" s="4">
        <f>MAX(0,G1684-SUMIFS('Paiements contrat'!$B:$B,'Paiements contrat'!$A:$A,A1684))</f>
        <v/>
      </c>
      <c r="I1684" s="4" t="n">
        <v>12346.82339398779</v>
      </c>
      <c r="J1684" t="inlineStr">
        <is>
          <t>actif</t>
        </is>
      </c>
    </row>
    <row r="1685">
      <c r="A1685" t="inlineStr">
        <is>
          <t>CTR-01719</t>
        </is>
      </c>
      <c r="B1685" t="inlineStr">
        <is>
          <t>CLI-01441</t>
        </is>
      </c>
      <c r="C1685" t="inlineStr">
        <is>
          <t>Île-de-France</t>
        </is>
      </c>
      <c r="D1685" t="inlineStr">
        <is>
          <t>auto</t>
        </is>
      </c>
      <c r="E1685" t="inlineStr">
        <is>
          <t>LLD</t>
        </is>
      </c>
      <c r="F1685" t="inlineStr">
        <is>
          <t>2024-10-07</t>
        </is>
      </c>
      <c r="G1685" s="4" t="n">
        <v>32096.41</v>
      </c>
      <c r="H1685" s="4">
        <f>MAX(0,G1685-SUMIFS('Paiements contrat'!$B:$B,'Paiements contrat'!$A:$A,A1685))</f>
        <v/>
      </c>
      <c r="I1685" s="4" t="n">
        <v>18398.95</v>
      </c>
      <c r="J1685" t="inlineStr">
        <is>
          <t>actif</t>
        </is>
      </c>
    </row>
    <row r="1686">
      <c r="A1686" t="inlineStr">
        <is>
          <t>CTR-01720</t>
        </is>
      </c>
      <c r="B1686" t="inlineStr">
        <is>
          <t>CLI-00564</t>
        </is>
      </c>
      <c r="C1686" t="inlineStr">
        <is>
          <t>Île-de-France</t>
        </is>
      </c>
      <c r="D1686" t="inlineStr">
        <is>
          <t>auto</t>
        </is>
      </c>
      <c r="E1686" t="inlineStr">
        <is>
          <t>LLD</t>
        </is>
      </c>
      <c r="F1686" t="inlineStr">
        <is>
          <t>2025-10-09</t>
        </is>
      </c>
      <c r="G1686" s="4" t="n">
        <v>27614.4</v>
      </c>
      <c r="H1686" s="4">
        <f>MAX(0,G1686-SUMIFS('Paiements contrat'!$B:$B,'Paiements contrat'!$A:$A,A1686))</f>
        <v/>
      </c>
      <c r="I1686" s="4" t="n">
        <v>25568.07054001365</v>
      </c>
      <c r="J1686" t="inlineStr">
        <is>
          <t>actif</t>
        </is>
      </c>
    </row>
    <row r="1687">
      <c r="A1687" t="inlineStr">
        <is>
          <t>CTR-01721</t>
        </is>
      </c>
      <c r="B1687" t="inlineStr">
        <is>
          <t>CLI-01392</t>
        </is>
      </c>
      <c r="C1687" t="inlineStr">
        <is>
          <t>Île-de-France</t>
        </is>
      </c>
      <c r="D1687" t="inlineStr">
        <is>
          <t>materiel</t>
        </is>
      </c>
      <c r="E1687" t="inlineStr">
        <is>
          <t>crédit-bail</t>
        </is>
      </c>
      <c r="F1687" t="inlineStr">
        <is>
          <t>2026-02-11</t>
        </is>
      </c>
      <c r="G1687" s="4" t="n">
        <v>12584.35</v>
      </c>
      <c r="H1687" s="4">
        <f>MAX(0,G1687-SUMIFS('Paiements contrat'!$B:$B,'Paiements contrat'!$A:$A,A1687))</f>
        <v/>
      </c>
      <c r="I1687" s="4" t="n">
        <v>12343.1</v>
      </c>
      <c r="J1687" t="inlineStr">
        <is>
          <t>actif</t>
        </is>
      </c>
    </row>
    <row r="1688">
      <c r="A1688" t="inlineStr">
        <is>
          <t>CTR-01722</t>
        </is>
      </c>
      <c r="B1688" t="inlineStr">
        <is>
          <t>CLI-01444</t>
        </is>
      </c>
      <c r="C1688" t="inlineStr">
        <is>
          <t>Île-de-France</t>
        </is>
      </c>
      <c r="D1688" t="inlineStr">
        <is>
          <t>materiel</t>
        </is>
      </c>
      <c r="E1688" t="inlineStr">
        <is>
          <t>crédit-bail</t>
        </is>
      </c>
      <c r="F1688" t="inlineStr">
        <is>
          <t>2025-03-23</t>
        </is>
      </c>
      <c r="G1688" s="4" t="n">
        <v>145981.89</v>
      </c>
      <c r="H1688" s="4">
        <f>MAX(0,G1688-SUMIFS('Paiements contrat'!$B:$B,'Paiements contrat'!$A:$A,A1688))</f>
        <v/>
      </c>
      <c r="I1688" s="4" t="n">
        <v>49801.38000000002</v>
      </c>
      <c r="J1688" t="inlineStr">
        <is>
          <t>actif</t>
        </is>
      </c>
    </row>
    <row r="1689">
      <c r="A1689" t="inlineStr">
        <is>
          <t>CTR-01723</t>
        </is>
      </c>
      <c r="B1689" t="inlineStr">
        <is>
          <t>CLI-00101</t>
        </is>
      </c>
      <c r="C1689" t="inlineStr">
        <is>
          <t>Martinique</t>
        </is>
      </c>
      <c r="D1689" t="inlineStr">
        <is>
          <t>auto</t>
        </is>
      </c>
      <c r="E1689" t="inlineStr">
        <is>
          <t>LOA</t>
        </is>
      </c>
      <c r="F1689" t="inlineStr">
        <is>
          <t>2026-02-25</t>
        </is>
      </c>
      <c r="G1689" s="4" t="n">
        <v>75495.63</v>
      </c>
      <c r="H1689" s="4">
        <f>MAX(0,G1689-SUMIFS('Paiements contrat'!$B:$B,'Paiements contrat'!$A:$A,A1689))</f>
        <v/>
      </c>
      <c r="I1689" s="4" t="n">
        <v>75495.63</v>
      </c>
      <c r="J1689" t="inlineStr">
        <is>
          <t>actif</t>
        </is>
      </c>
    </row>
    <row r="1690">
      <c r="A1690" t="inlineStr">
        <is>
          <t>CTR-01724</t>
        </is>
      </c>
      <c r="B1690" t="inlineStr">
        <is>
          <t>CLI-00125</t>
        </is>
      </c>
      <c r="C1690" t="inlineStr">
        <is>
          <t>Réunion</t>
        </is>
      </c>
      <c r="D1690" t="inlineStr">
        <is>
          <t>materiel</t>
        </is>
      </c>
      <c r="E1690" t="inlineStr">
        <is>
          <t>crédit-bail</t>
        </is>
      </c>
      <c r="F1690" t="inlineStr">
        <is>
          <t>2026-01-24</t>
        </is>
      </c>
      <c r="G1690" s="4" t="n">
        <v>149637.23</v>
      </c>
      <c r="H1690" s="4">
        <f>MAX(0,G1690-SUMIFS('Paiements contrat'!$B:$B,'Paiements contrat'!$A:$A,A1690))</f>
        <v/>
      </c>
      <c r="I1690" s="4" t="n">
        <v>133963.05</v>
      </c>
      <c r="J1690" t="inlineStr">
        <is>
          <t>actif</t>
        </is>
      </c>
    </row>
    <row r="1691">
      <c r="A1691" t="inlineStr">
        <is>
          <t>CTR-01725</t>
        </is>
      </c>
      <c r="B1691" t="inlineStr">
        <is>
          <t>CLI-01254</t>
        </is>
      </c>
      <c r="C1691" t="inlineStr">
        <is>
          <t>Île-de-France</t>
        </is>
      </c>
      <c r="D1691" t="inlineStr">
        <is>
          <t>materiel</t>
        </is>
      </c>
      <c r="E1691" t="inlineStr">
        <is>
          <t>crédit-bail</t>
        </is>
      </c>
      <c r="F1691" t="inlineStr">
        <is>
          <t>2024-11-02</t>
        </is>
      </c>
      <c r="G1691" s="4" t="n">
        <v>99087.42999999999</v>
      </c>
      <c r="H1691" s="4">
        <f>MAX(0,G1691-SUMIFS('Paiements contrat'!$B:$B,'Paiements contrat'!$A:$A,A1691))</f>
        <v/>
      </c>
      <c r="I1691" s="4" t="n">
        <v>42384.05</v>
      </c>
      <c r="J1691" t="inlineStr">
        <is>
          <t>actif</t>
        </is>
      </c>
    </row>
    <row r="1692">
      <c r="A1692" t="inlineStr">
        <is>
          <t>CTR-01726</t>
        </is>
      </c>
      <c r="B1692" t="inlineStr">
        <is>
          <t>CLI-00843</t>
        </is>
      </c>
      <c r="C1692" t="inlineStr">
        <is>
          <t>Île-de-France</t>
        </is>
      </c>
      <c r="D1692" t="inlineStr">
        <is>
          <t>auto</t>
        </is>
      </c>
      <c r="E1692" t="inlineStr">
        <is>
          <t>LOA</t>
        </is>
      </c>
      <c r="F1692" t="inlineStr">
        <is>
          <t>2025-07-04</t>
        </is>
      </c>
      <c r="G1692" s="4" t="n">
        <v>8938.309999999999</v>
      </c>
      <c r="H1692" s="4">
        <f>MAX(0,G1692-SUMIFS('Paiements contrat'!$B:$B,'Paiements contrat'!$A:$A,A1692))</f>
        <v/>
      </c>
      <c r="I1692" s="4" t="n">
        <v>7359.83</v>
      </c>
      <c r="J1692" t="inlineStr">
        <is>
          <t>actif</t>
        </is>
      </c>
    </row>
    <row r="1693">
      <c r="A1693" t="inlineStr">
        <is>
          <t>CTR-01727</t>
        </is>
      </c>
      <c r="B1693" t="inlineStr">
        <is>
          <t>CLI-00790</t>
        </is>
      </c>
      <c r="C1693" t="inlineStr">
        <is>
          <t>Île-de-France</t>
        </is>
      </c>
      <c r="D1693" t="inlineStr">
        <is>
          <t>materiel</t>
        </is>
      </c>
      <c r="E1693" t="inlineStr">
        <is>
          <t>crédit-bail</t>
        </is>
      </c>
      <c r="F1693" t="inlineStr">
        <is>
          <t>2025-11-19</t>
        </is>
      </c>
      <c r="G1693" s="4" t="n">
        <v>169596.55</v>
      </c>
      <c r="H1693" s="4">
        <f>MAX(0,G1693-SUMIFS('Paiements contrat'!$B:$B,'Paiements contrat'!$A:$A,A1693))</f>
        <v/>
      </c>
      <c r="I1693" s="4" t="n">
        <v>157854.5870662651</v>
      </c>
      <c r="J1693" t="inlineStr">
        <is>
          <t>contentieux</t>
        </is>
      </c>
    </row>
    <row r="1694">
      <c r="A1694" t="inlineStr">
        <is>
          <t>CTR-01728</t>
        </is>
      </c>
      <c r="B1694" t="inlineStr">
        <is>
          <t>CLI-00630</t>
        </is>
      </c>
      <c r="C1694" t="inlineStr">
        <is>
          <t>Réunion</t>
        </is>
      </c>
      <c r="D1694" t="inlineStr">
        <is>
          <t>materiel</t>
        </is>
      </c>
      <c r="E1694" t="inlineStr">
        <is>
          <t>crédit-bail</t>
        </is>
      </c>
      <c r="F1694" t="inlineStr">
        <is>
          <t>2025-01-05</t>
        </is>
      </c>
      <c r="G1694" s="4" t="n">
        <v>23965.67</v>
      </c>
      <c r="H1694" s="4">
        <f>MAX(0,G1694-SUMIFS('Paiements contrat'!$B:$B,'Paiements contrat'!$A:$A,A1694))</f>
        <v/>
      </c>
      <c r="I1694" s="4" t="n">
        <v>12209.7</v>
      </c>
      <c r="J1694" t="inlineStr">
        <is>
          <t>actif</t>
        </is>
      </c>
    </row>
    <row r="1695">
      <c r="A1695" t="inlineStr">
        <is>
          <t>CTR-01729</t>
        </is>
      </c>
      <c r="B1695" t="inlineStr">
        <is>
          <t>CLI-00397</t>
        </is>
      </c>
      <c r="C1695" t="inlineStr">
        <is>
          <t>Réunion</t>
        </is>
      </c>
      <c r="D1695" t="inlineStr">
        <is>
          <t>auto</t>
        </is>
      </c>
      <c r="E1695" t="inlineStr">
        <is>
          <t>LLD</t>
        </is>
      </c>
      <c r="F1695" t="inlineStr">
        <is>
          <t>2024-04-01</t>
        </is>
      </c>
      <c r="G1695" s="4" t="n">
        <v>15963.53</v>
      </c>
      <c r="H1695" s="4">
        <f>MAX(0,G1695-SUMIFS('Paiements contrat'!$B:$B,'Paiements contrat'!$A:$A,A1695))</f>
        <v/>
      </c>
      <c r="I1695" s="4" t="n">
        <v>6922.038500703595</v>
      </c>
      <c r="J1695" t="inlineStr">
        <is>
          <t>actif</t>
        </is>
      </c>
    </row>
    <row r="1696">
      <c r="A1696" t="inlineStr">
        <is>
          <t>CTR-01730</t>
        </is>
      </c>
      <c r="B1696" t="inlineStr">
        <is>
          <t>CLI-00629</t>
        </is>
      </c>
      <c r="C1696" t="inlineStr">
        <is>
          <t>Île-de-France</t>
        </is>
      </c>
      <c r="D1696" t="inlineStr">
        <is>
          <t>bateau</t>
        </is>
      </c>
      <c r="E1696" t="inlineStr">
        <is>
          <t>LOA</t>
        </is>
      </c>
      <c r="F1696" t="inlineStr">
        <is>
          <t>2025-04-08</t>
        </is>
      </c>
      <c r="G1696" s="4" t="n">
        <v>259294.53</v>
      </c>
      <c r="H1696" s="4">
        <f>MAX(0,G1696-SUMIFS('Paiements contrat'!$B:$B,'Paiements contrat'!$A:$A,A1696))</f>
        <v/>
      </c>
      <c r="I1696" s="4" t="n">
        <v>211678.078315525</v>
      </c>
      <c r="J1696" t="inlineStr">
        <is>
          <t>actif</t>
        </is>
      </c>
    </row>
    <row r="1697">
      <c r="A1697" t="inlineStr">
        <is>
          <t>CTR-01731</t>
        </is>
      </c>
      <c r="B1697" t="inlineStr">
        <is>
          <t>CLI-01120</t>
        </is>
      </c>
      <c r="C1697" t="inlineStr">
        <is>
          <t>Île-de-France</t>
        </is>
      </c>
      <c r="D1697" t="inlineStr">
        <is>
          <t>bateau</t>
        </is>
      </c>
      <c r="E1697" t="inlineStr">
        <is>
          <t>LOA</t>
        </is>
      </c>
      <c r="F1697" t="inlineStr">
        <is>
          <t>2024-07-24</t>
        </is>
      </c>
      <c r="G1697" s="4" t="n">
        <v>32028.73</v>
      </c>
      <c r="H1697" s="4">
        <f>MAX(0,G1697-SUMIFS('Paiements contrat'!$B:$B,'Paiements contrat'!$A:$A,A1697))</f>
        <v/>
      </c>
      <c r="I1697" s="4" t="n">
        <v>10894.62</v>
      </c>
      <c r="J1697" t="inlineStr">
        <is>
          <t>actif</t>
        </is>
      </c>
    </row>
    <row r="1698">
      <c r="A1698" t="inlineStr">
        <is>
          <t>CTR-01732</t>
        </is>
      </c>
      <c r="B1698" t="inlineStr">
        <is>
          <t>CLI-00838</t>
        </is>
      </c>
      <c r="C1698" t="inlineStr">
        <is>
          <t>Île-de-France</t>
        </is>
      </c>
      <c r="D1698" t="inlineStr">
        <is>
          <t>auto</t>
        </is>
      </c>
      <c r="E1698" t="inlineStr">
        <is>
          <t>LLD</t>
        </is>
      </c>
      <c r="F1698" t="inlineStr">
        <is>
          <t>2025-08-19</t>
        </is>
      </c>
      <c r="G1698" s="4" t="n">
        <v>30628.24</v>
      </c>
      <c r="H1698" s="4">
        <f>MAX(0,G1698-SUMIFS('Paiements contrat'!$B:$B,'Paiements contrat'!$A:$A,A1698))</f>
        <v/>
      </c>
      <c r="I1698" s="4" t="n">
        <v>16889.03191960808</v>
      </c>
      <c r="J1698" t="inlineStr">
        <is>
          <t>actif</t>
        </is>
      </c>
    </row>
    <row r="1699">
      <c r="A1699" t="inlineStr">
        <is>
          <t>CTR-01733</t>
        </is>
      </c>
      <c r="B1699" t="inlineStr">
        <is>
          <t>CLI-01078</t>
        </is>
      </c>
      <c r="C1699" t="inlineStr">
        <is>
          <t>Guyane</t>
        </is>
      </c>
      <c r="D1699" t="inlineStr">
        <is>
          <t>bateau</t>
        </is>
      </c>
      <c r="E1699" t="inlineStr">
        <is>
          <t>LOA</t>
        </is>
      </c>
      <c r="F1699" t="inlineStr">
        <is>
          <t>2025-01-07</t>
        </is>
      </c>
      <c r="G1699" s="4" t="n">
        <v>96298.42</v>
      </c>
      <c r="H1699" s="4">
        <f>MAX(0,G1699-SUMIFS('Paiements contrat'!$B:$B,'Paiements contrat'!$A:$A,A1699))</f>
        <v/>
      </c>
      <c r="I1699" s="4" t="n">
        <v>50559.07280242196</v>
      </c>
      <c r="J1699" t="inlineStr">
        <is>
          <t>actif</t>
        </is>
      </c>
    </row>
    <row r="1700">
      <c r="A1700" t="inlineStr">
        <is>
          <t>CTR-01734</t>
        </is>
      </c>
      <c r="B1700" t="inlineStr">
        <is>
          <t>CLI-01276</t>
        </is>
      </c>
      <c r="C1700" t="inlineStr">
        <is>
          <t>Île-de-France</t>
        </is>
      </c>
      <c r="D1700" t="inlineStr">
        <is>
          <t>auto</t>
        </is>
      </c>
      <c r="E1700" t="inlineStr">
        <is>
          <t>LOA</t>
        </is>
      </c>
      <c r="F1700" t="inlineStr">
        <is>
          <t>2025-08-16</t>
        </is>
      </c>
      <c r="G1700" s="4" t="n">
        <v>47722.4</v>
      </c>
      <c r="H1700" s="4">
        <f>MAX(0,G1700-SUMIFS('Paiements contrat'!$B:$B,'Paiements contrat'!$A:$A,A1700))</f>
        <v/>
      </c>
      <c r="I1700" s="4" t="n">
        <v>35853.98743033536</v>
      </c>
      <c r="J1700" t="inlineStr">
        <is>
          <t>actif</t>
        </is>
      </c>
    </row>
    <row r="1701">
      <c r="A1701" t="inlineStr">
        <is>
          <t>CTR-01735</t>
        </is>
      </c>
      <c r="B1701" t="inlineStr">
        <is>
          <t>CLI-00430</t>
        </is>
      </c>
      <c r="C1701" t="inlineStr">
        <is>
          <t>Île-de-France</t>
        </is>
      </c>
      <c r="D1701" t="inlineStr">
        <is>
          <t>auto</t>
        </is>
      </c>
      <c r="E1701" t="inlineStr">
        <is>
          <t>LLD</t>
        </is>
      </c>
      <c r="F1701" t="inlineStr">
        <is>
          <t>2026-03-12</t>
        </is>
      </c>
      <c r="G1701" s="4" t="n">
        <v>17584.05</v>
      </c>
      <c r="H1701" s="4">
        <f>MAX(0,G1701-SUMIFS('Paiements contrat'!$B:$B,'Paiements contrat'!$A:$A,A1701))</f>
        <v/>
      </c>
      <c r="I1701" s="4" t="n">
        <v>17584.05</v>
      </c>
      <c r="J1701" t="inlineStr">
        <is>
          <t>actif</t>
        </is>
      </c>
    </row>
    <row r="1702">
      <c r="A1702" t="inlineStr">
        <is>
          <t>CTR-01736</t>
        </is>
      </c>
      <c r="B1702" t="inlineStr">
        <is>
          <t>CLI-01215</t>
        </is>
      </c>
      <c r="C1702" t="inlineStr">
        <is>
          <t>Île-de-France</t>
        </is>
      </c>
      <c r="D1702" t="inlineStr">
        <is>
          <t>auto</t>
        </is>
      </c>
      <c r="E1702" t="inlineStr">
        <is>
          <t>LOA</t>
        </is>
      </c>
      <c r="F1702" t="inlineStr">
        <is>
          <t>2024-08-27</t>
        </is>
      </c>
      <c r="G1702" s="4" t="n">
        <v>28283.17</v>
      </c>
      <c r="H1702" s="4">
        <f>MAX(0,G1702-SUMIFS('Paiements contrat'!$B:$B,'Paiements contrat'!$A:$A,A1702))</f>
        <v/>
      </c>
      <c r="I1702" s="4" t="n">
        <v>7332.699999999997</v>
      </c>
      <c r="J1702" t="inlineStr">
        <is>
          <t>actif</t>
        </is>
      </c>
    </row>
    <row r="1703">
      <c r="A1703" t="inlineStr">
        <is>
          <t>CTR-01737</t>
        </is>
      </c>
      <c r="B1703" t="inlineStr">
        <is>
          <t>CLI-00756</t>
        </is>
      </c>
      <c r="C1703" t="inlineStr">
        <is>
          <t>Île-de-France</t>
        </is>
      </c>
      <c r="D1703" t="inlineStr">
        <is>
          <t>auto</t>
        </is>
      </c>
      <c r="E1703" t="inlineStr">
        <is>
          <t>LOA</t>
        </is>
      </c>
      <c r="F1703" t="inlineStr">
        <is>
          <t>2026-01-05</t>
        </is>
      </c>
      <c r="G1703" s="4" t="n">
        <v>59470.17</v>
      </c>
      <c r="H1703" s="4">
        <f>MAX(0,G1703-SUMIFS('Paiements contrat'!$B:$B,'Paiements contrat'!$A:$A,A1703))</f>
        <v/>
      </c>
      <c r="I1703" s="4" t="n">
        <v>56476.66</v>
      </c>
      <c r="J1703" t="inlineStr">
        <is>
          <t>actif</t>
        </is>
      </c>
    </row>
    <row r="1704">
      <c r="A1704" t="inlineStr">
        <is>
          <t>CTR-01738</t>
        </is>
      </c>
      <c r="B1704" t="inlineStr">
        <is>
          <t>CLI-01428</t>
        </is>
      </c>
      <c r="C1704" t="inlineStr">
        <is>
          <t>Île-de-France</t>
        </is>
      </c>
      <c r="D1704" t="inlineStr">
        <is>
          <t>auto</t>
        </is>
      </c>
      <c r="E1704" t="inlineStr">
        <is>
          <t>LOA</t>
        </is>
      </c>
      <c r="F1704" t="inlineStr">
        <is>
          <t>2025-01-18</t>
        </is>
      </c>
      <c r="G1704" s="4" t="n">
        <v>34485.28</v>
      </c>
      <c r="H1704" s="4">
        <f>MAX(0,G1704-SUMIFS('Paiements contrat'!$B:$B,'Paiements contrat'!$A:$A,A1704))</f>
        <v/>
      </c>
      <c r="I1704" s="4" t="n">
        <v>24934.72</v>
      </c>
      <c r="J1704" t="inlineStr">
        <is>
          <t>actif</t>
        </is>
      </c>
    </row>
    <row r="1705">
      <c r="A1705" t="inlineStr">
        <is>
          <t>CTR-01739</t>
        </is>
      </c>
      <c r="B1705" t="inlineStr">
        <is>
          <t>CLI-01427</t>
        </is>
      </c>
      <c r="C1705" t="inlineStr">
        <is>
          <t>Guadeloupe</t>
        </is>
      </c>
      <c r="D1705" t="inlineStr">
        <is>
          <t>auto</t>
        </is>
      </c>
      <c r="E1705" t="inlineStr">
        <is>
          <t>LOA</t>
        </is>
      </c>
      <c r="F1705" t="inlineStr">
        <is>
          <t>2024-05-18</t>
        </is>
      </c>
      <c r="G1705" s="4" t="n">
        <v>40272.55</v>
      </c>
      <c r="H1705" s="4">
        <f>MAX(0,G1705-SUMIFS('Paiements contrat'!$B:$B,'Paiements contrat'!$A:$A,A1705))</f>
        <v/>
      </c>
      <c r="I1705" s="4" t="n">
        <v>11230.40728739862</v>
      </c>
      <c r="J1705" t="inlineStr">
        <is>
          <t>actif</t>
        </is>
      </c>
    </row>
    <row r="1706">
      <c r="A1706" t="inlineStr">
        <is>
          <t>CTR-01740</t>
        </is>
      </c>
      <c r="B1706" t="inlineStr">
        <is>
          <t>CLI-00684</t>
        </is>
      </c>
      <c r="C1706" t="inlineStr">
        <is>
          <t>Réunion</t>
        </is>
      </c>
      <c r="D1706" t="inlineStr">
        <is>
          <t>auto</t>
        </is>
      </c>
      <c r="E1706" t="inlineStr">
        <is>
          <t>LLD</t>
        </is>
      </c>
      <c r="F1706" t="inlineStr">
        <is>
          <t>2024-11-04</t>
        </is>
      </c>
      <c r="G1706" s="4" t="n">
        <v>40463.03</v>
      </c>
      <c r="H1706" s="4">
        <f>MAX(0,G1706-SUMIFS('Paiements contrat'!$B:$B,'Paiements contrat'!$A:$A,A1706))</f>
        <v/>
      </c>
      <c r="I1706" s="4" t="n">
        <v>26464.85</v>
      </c>
      <c r="J1706" t="inlineStr">
        <is>
          <t>actif</t>
        </is>
      </c>
    </row>
    <row r="1707">
      <c r="A1707" t="inlineStr">
        <is>
          <t>CTR-01741</t>
        </is>
      </c>
      <c r="B1707" t="inlineStr">
        <is>
          <t>CLI-01316</t>
        </is>
      </c>
      <c r="C1707" t="inlineStr">
        <is>
          <t>Île-de-France</t>
        </is>
      </c>
      <c r="D1707" t="inlineStr">
        <is>
          <t>materiel</t>
        </is>
      </c>
      <c r="E1707" t="inlineStr">
        <is>
          <t>crédit-bail</t>
        </is>
      </c>
      <c r="F1707" t="inlineStr">
        <is>
          <t>2026-02-07</t>
        </is>
      </c>
      <c r="G1707" s="4" t="n">
        <v>131335.75</v>
      </c>
      <c r="H1707" s="4">
        <f>MAX(0,G1707-SUMIFS('Paiements contrat'!$B:$B,'Paiements contrat'!$A:$A,A1707))</f>
        <v/>
      </c>
      <c r="I1707" s="4" t="n">
        <v>120671.3</v>
      </c>
      <c r="J1707" t="inlineStr">
        <is>
          <t>actif</t>
        </is>
      </c>
    </row>
    <row r="1708">
      <c r="A1708" t="inlineStr">
        <is>
          <t>CTR-01742</t>
        </is>
      </c>
      <c r="B1708" t="inlineStr">
        <is>
          <t>CLI-01256</t>
        </is>
      </c>
      <c r="C1708" t="inlineStr">
        <is>
          <t>Réunion</t>
        </is>
      </c>
      <c r="D1708" t="inlineStr">
        <is>
          <t>materiel</t>
        </is>
      </c>
      <c r="E1708" t="inlineStr">
        <is>
          <t>crédit-bail</t>
        </is>
      </c>
      <c r="F1708" t="inlineStr">
        <is>
          <t>2024-05-25</t>
        </is>
      </c>
      <c r="G1708" s="4" t="n">
        <v>102941.46</v>
      </c>
      <c r="H1708" s="4">
        <f>MAX(0,G1708-SUMIFS('Paiements contrat'!$B:$B,'Paiements contrat'!$A:$A,A1708))</f>
        <v/>
      </c>
      <c r="I1708" s="4" t="n">
        <v>73666.69</v>
      </c>
      <c r="J1708" t="inlineStr">
        <is>
          <t>actif</t>
        </is>
      </c>
    </row>
    <row r="1709">
      <c r="A1709" t="inlineStr">
        <is>
          <t>CTR-01743</t>
        </is>
      </c>
      <c r="B1709" t="inlineStr">
        <is>
          <t>CLI-00194</t>
        </is>
      </c>
      <c r="C1709" t="inlineStr">
        <is>
          <t>Guadeloupe</t>
        </is>
      </c>
      <c r="D1709" t="inlineStr">
        <is>
          <t>auto</t>
        </is>
      </c>
      <c r="E1709" t="inlineStr">
        <is>
          <t>LLD</t>
        </is>
      </c>
      <c r="F1709" t="inlineStr">
        <is>
          <t>2025-10-06</t>
        </is>
      </c>
      <c r="G1709" s="4" t="n">
        <v>38429.4</v>
      </c>
      <c r="H1709" s="4">
        <f>MAX(0,G1709-SUMIFS('Paiements contrat'!$B:$B,'Paiements contrat'!$A:$A,A1709))</f>
        <v/>
      </c>
      <c r="I1709" s="4" t="n">
        <v>31071.73439403308</v>
      </c>
      <c r="J1709" t="inlineStr">
        <is>
          <t>actif</t>
        </is>
      </c>
    </row>
    <row r="1710">
      <c r="A1710" t="inlineStr">
        <is>
          <t>CTR-01744</t>
        </is>
      </c>
      <c r="B1710" t="inlineStr">
        <is>
          <t>CLI-01382</t>
        </is>
      </c>
      <c r="C1710" t="inlineStr">
        <is>
          <t>Martinique</t>
        </is>
      </c>
      <c r="D1710" t="inlineStr">
        <is>
          <t>auto</t>
        </is>
      </c>
      <c r="E1710" t="inlineStr">
        <is>
          <t>LOA</t>
        </is>
      </c>
      <c r="F1710" t="inlineStr">
        <is>
          <t>2024-10-02</t>
        </is>
      </c>
      <c r="G1710" s="4" t="n">
        <v>34251.63</v>
      </c>
      <c r="H1710" s="4">
        <f>MAX(0,G1710-SUMIFS('Paiements contrat'!$B:$B,'Paiements contrat'!$A:$A,A1710))</f>
        <v/>
      </c>
      <c r="I1710" s="4" t="n">
        <v>11737.12</v>
      </c>
      <c r="J1710" t="inlineStr">
        <is>
          <t>actif</t>
        </is>
      </c>
    </row>
    <row r="1711">
      <c r="A1711" t="inlineStr">
        <is>
          <t>CTR-01745</t>
        </is>
      </c>
      <c r="B1711" t="inlineStr">
        <is>
          <t>CLI-01332</t>
        </is>
      </c>
      <c r="C1711" t="inlineStr">
        <is>
          <t>Martinique</t>
        </is>
      </c>
      <c r="D1711" t="inlineStr">
        <is>
          <t>auto</t>
        </is>
      </c>
      <c r="E1711" t="inlineStr">
        <is>
          <t>LLD</t>
        </is>
      </c>
      <c r="F1711" t="inlineStr">
        <is>
          <t>2025-03-11</t>
        </is>
      </c>
      <c r="G1711" s="4" t="n">
        <v>12881.07</v>
      </c>
      <c r="H1711" s="4">
        <f>MAX(0,G1711-SUMIFS('Paiements contrat'!$B:$B,'Paiements contrat'!$A:$A,A1711))</f>
        <v/>
      </c>
      <c r="I1711" s="4" t="n">
        <v>10864.14847973823</v>
      </c>
      <c r="J1711" t="inlineStr">
        <is>
          <t>actif</t>
        </is>
      </c>
    </row>
    <row r="1712">
      <c r="A1712" t="inlineStr">
        <is>
          <t>CTR-01746</t>
        </is>
      </c>
      <c r="B1712" t="inlineStr">
        <is>
          <t>CLI-00538</t>
        </is>
      </c>
      <c r="C1712" t="inlineStr">
        <is>
          <t>Île-de-France</t>
        </is>
      </c>
      <c r="D1712" t="inlineStr">
        <is>
          <t>materiel</t>
        </is>
      </c>
      <c r="E1712" t="inlineStr">
        <is>
          <t>crédit-bail</t>
        </is>
      </c>
      <c r="F1712" t="inlineStr">
        <is>
          <t>2024-08-19</t>
        </is>
      </c>
      <c r="G1712" s="4" t="n">
        <v>20019.09</v>
      </c>
      <c r="H1712" s="4">
        <f>MAX(0,G1712-SUMIFS('Paiements contrat'!$B:$B,'Paiements contrat'!$A:$A,A1712))</f>
        <v/>
      </c>
      <c r="I1712" s="4" t="n">
        <v>13090.78133373554</v>
      </c>
      <c r="J1712" t="inlineStr">
        <is>
          <t>actif</t>
        </is>
      </c>
    </row>
    <row r="1713">
      <c r="A1713" t="inlineStr">
        <is>
          <t>CTR-01747</t>
        </is>
      </c>
      <c r="B1713" t="inlineStr">
        <is>
          <t>CLI-00109</t>
        </is>
      </c>
      <c r="C1713" t="inlineStr">
        <is>
          <t>Réunion</t>
        </is>
      </c>
      <c r="D1713" t="inlineStr">
        <is>
          <t>auto</t>
        </is>
      </c>
      <c r="E1713" t="inlineStr">
        <is>
          <t>LOA</t>
        </is>
      </c>
      <c r="F1713" t="inlineStr">
        <is>
          <t>2024-05-18</t>
        </is>
      </c>
      <c r="G1713" s="4" t="n">
        <v>28170.82</v>
      </c>
      <c r="H1713" s="4">
        <f>MAX(0,G1713-SUMIFS('Paiements contrat'!$B:$B,'Paiements contrat'!$A:$A,A1713))</f>
        <v/>
      </c>
      <c r="I1713" s="4" t="n">
        <v>13111.45</v>
      </c>
      <c r="J1713" t="inlineStr">
        <is>
          <t>contentieux</t>
        </is>
      </c>
    </row>
    <row r="1714">
      <c r="A1714" t="inlineStr">
        <is>
          <t>CTR-01748</t>
        </is>
      </c>
      <c r="B1714" t="inlineStr">
        <is>
          <t>CLI-00209</t>
        </is>
      </c>
      <c r="C1714" t="inlineStr">
        <is>
          <t>Île-de-France</t>
        </is>
      </c>
      <c r="D1714" t="inlineStr">
        <is>
          <t>auto</t>
        </is>
      </c>
      <c r="E1714" t="inlineStr">
        <is>
          <t>LOA</t>
        </is>
      </c>
      <c r="F1714" t="inlineStr">
        <is>
          <t>2026-02-21</t>
        </is>
      </c>
      <c r="G1714" s="4" t="n">
        <v>66670.78999999999</v>
      </c>
      <c r="H1714" s="4">
        <f>MAX(0,G1714-SUMIFS('Paiements contrat'!$B:$B,'Paiements contrat'!$A:$A,A1714))</f>
        <v/>
      </c>
      <c r="I1714" s="4" t="n">
        <v>64952.67999999999</v>
      </c>
      <c r="J1714" t="inlineStr">
        <is>
          <t>actif</t>
        </is>
      </c>
    </row>
    <row r="1715">
      <c r="A1715" t="inlineStr">
        <is>
          <t>CTR-01749</t>
        </is>
      </c>
      <c r="B1715" t="inlineStr">
        <is>
          <t>CLI-01414</t>
        </is>
      </c>
      <c r="C1715" t="inlineStr">
        <is>
          <t>Île-de-France</t>
        </is>
      </c>
      <c r="D1715" t="inlineStr">
        <is>
          <t>materiel</t>
        </is>
      </c>
      <c r="E1715" t="inlineStr">
        <is>
          <t>crédit-bail</t>
        </is>
      </c>
      <c r="F1715" t="inlineStr">
        <is>
          <t>2024-12-10</t>
        </is>
      </c>
      <c r="G1715" s="4" t="n">
        <v>62998.4</v>
      </c>
      <c r="H1715" s="4">
        <f>MAX(0,G1715-SUMIFS('Paiements contrat'!$B:$B,'Paiements contrat'!$A:$A,A1715))</f>
        <v/>
      </c>
      <c r="I1715" s="4" t="n">
        <v>49832.33</v>
      </c>
      <c r="J1715" t="inlineStr">
        <is>
          <t>actif</t>
        </is>
      </c>
    </row>
    <row r="1716">
      <c r="A1716" t="inlineStr">
        <is>
          <t>CTR-01750</t>
        </is>
      </c>
      <c r="B1716" t="inlineStr">
        <is>
          <t>CLI-01067</t>
        </is>
      </c>
      <c r="C1716" t="inlineStr">
        <is>
          <t>Île-de-France</t>
        </is>
      </c>
      <c r="D1716" t="inlineStr">
        <is>
          <t>auto</t>
        </is>
      </c>
      <c r="E1716" t="inlineStr">
        <is>
          <t>LOA</t>
        </is>
      </c>
      <c r="F1716" t="inlineStr">
        <is>
          <t>2025-03-14</t>
        </is>
      </c>
      <c r="G1716" s="4" t="n">
        <v>33249</v>
      </c>
      <c r="H1716" s="4">
        <f>MAX(0,G1716-SUMIFS('Paiements contrat'!$B:$B,'Paiements contrat'!$A:$A,A1716))</f>
        <v/>
      </c>
      <c r="I1716" s="4" t="n">
        <v>19760.07</v>
      </c>
      <c r="J1716" t="inlineStr">
        <is>
          <t>actif</t>
        </is>
      </c>
    </row>
    <row r="1717">
      <c r="A1717" t="inlineStr">
        <is>
          <t>CTR-01751</t>
        </is>
      </c>
      <c r="B1717" t="inlineStr">
        <is>
          <t>CLI-01101</t>
        </is>
      </c>
      <c r="C1717" t="inlineStr">
        <is>
          <t>Île-de-France</t>
        </is>
      </c>
      <c r="D1717" t="inlineStr">
        <is>
          <t>auto</t>
        </is>
      </c>
      <c r="E1717" t="inlineStr">
        <is>
          <t>LLD</t>
        </is>
      </c>
      <c r="F1717" t="inlineStr">
        <is>
          <t>2025-02-14</t>
        </is>
      </c>
      <c r="G1717" s="4" t="n">
        <v>19677.39</v>
      </c>
      <c r="H1717" s="4">
        <f>MAX(0,G1717-SUMIFS('Paiements contrat'!$B:$B,'Paiements contrat'!$A:$A,A1717))</f>
        <v/>
      </c>
      <c r="I1717" s="4" t="n">
        <v>13359.87</v>
      </c>
      <c r="J1717" t="inlineStr">
        <is>
          <t>actif</t>
        </is>
      </c>
    </row>
    <row r="1718">
      <c r="A1718" t="inlineStr">
        <is>
          <t>CTR-01752</t>
        </is>
      </c>
      <c r="B1718" t="inlineStr">
        <is>
          <t>CLI-00985</t>
        </is>
      </c>
      <c r="C1718" t="inlineStr">
        <is>
          <t>Île-de-France</t>
        </is>
      </c>
      <c r="D1718" t="inlineStr">
        <is>
          <t>auto</t>
        </is>
      </c>
      <c r="E1718" t="inlineStr">
        <is>
          <t>LOA</t>
        </is>
      </c>
      <c r="F1718" t="inlineStr">
        <is>
          <t>2024-11-06</t>
        </is>
      </c>
      <c r="G1718" s="4" t="n">
        <v>8061.94</v>
      </c>
      <c r="H1718" s="4">
        <f>MAX(0,G1718-SUMIFS('Paiements contrat'!$B:$B,'Paiements contrat'!$A:$A,A1718))</f>
        <v/>
      </c>
      <c r="I1718" s="4" t="n">
        <v>945.4399999999996</v>
      </c>
      <c r="J1718" t="inlineStr">
        <is>
          <t>actif</t>
        </is>
      </c>
    </row>
    <row r="1719">
      <c r="A1719" t="inlineStr">
        <is>
          <t>CTR-01753</t>
        </is>
      </c>
      <c r="B1719" t="inlineStr">
        <is>
          <t>CLI-01430</t>
        </is>
      </c>
      <c r="C1719" t="inlineStr">
        <is>
          <t>Guadeloupe</t>
        </is>
      </c>
      <c r="D1719" t="inlineStr">
        <is>
          <t>auto</t>
        </is>
      </c>
      <c r="E1719" t="inlineStr">
        <is>
          <t>LOA</t>
        </is>
      </c>
      <c r="F1719" t="inlineStr">
        <is>
          <t>2026-02-10</t>
        </is>
      </c>
      <c r="G1719" s="4" t="n">
        <v>21697.41</v>
      </c>
      <c r="H1719" s="4">
        <f>MAX(0,G1719-SUMIFS('Paiements contrat'!$B:$B,'Paiements contrat'!$A:$A,A1719))</f>
        <v/>
      </c>
      <c r="I1719" s="4" t="n">
        <v>21273.86</v>
      </c>
      <c r="J1719" t="inlineStr">
        <is>
          <t>actif</t>
        </is>
      </c>
    </row>
    <row r="1720">
      <c r="A1720" t="inlineStr">
        <is>
          <t>CTR-01754</t>
        </is>
      </c>
      <c r="B1720" t="inlineStr">
        <is>
          <t>CLI-00421</t>
        </is>
      </c>
      <c r="C1720" t="inlineStr">
        <is>
          <t>Île-de-France</t>
        </is>
      </c>
      <c r="D1720" t="inlineStr">
        <is>
          <t>auto</t>
        </is>
      </c>
      <c r="E1720" t="inlineStr">
        <is>
          <t>LOA</t>
        </is>
      </c>
      <c r="F1720" t="inlineStr">
        <is>
          <t>2025-09-16</t>
        </is>
      </c>
      <c r="G1720" s="4" t="n">
        <v>58254.77</v>
      </c>
      <c r="H1720" s="4">
        <f>MAX(0,G1720-SUMIFS('Paiements contrat'!$B:$B,'Paiements contrat'!$A:$A,A1720))</f>
        <v/>
      </c>
      <c r="I1720" s="4" t="n">
        <v>47524.14999999999</v>
      </c>
      <c r="J1720" t="inlineStr">
        <is>
          <t>actif</t>
        </is>
      </c>
    </row>
    <row r="1721">
      <c r="A1721" t="inlineStr">
        <is>
          <t>CTR-01755</t>
        </is>
      </c>
      <c r="B1721" t="inlineStr">
        <is>
          <t>CLI-00333</t>
        </is>
      </c>
      <c r="C1721" t="inlineStr">
        <is>
          <t>Guyane</t>
        </is>
      </c>
      <c r="D1721" t="inlineStr">
        <is>
          <t>auto</t>
        </is>
      </c>
      <c r="E1721" t="inlineStr">
        <is>
          <t>LOA</t>
        </is>
      </c>
      <c r="F1721" t="inlineStr">
        <is>
          <t>2024-08-15</t>
        </is>
      </c>
      <c r="G1721" s="4" t="n">
        <v>9350.280000000001</v>
      </c>
      <c r="H1721" s="4">
        <f>MAX(0,G1721-SUMIFS('Paiements contrat'!$B:$B,'Paiements contrat'!$A:$A,A1721))</f>
        <v/>
      </c>
      <c r="I1721" s="4" t="n">
        <v>6928.478970845482</v>
      </c>
      <c r="J1721" t="inlineStr">
        <is>
          <t>actif</t>
        </is>
      </c>
    </row>
    <row r="1722">
      <c r="A1722" t="inlineStr">
        <is>
          <t>CTR-01756</t>
        </is>
      </c>
      <c r="B1722" t="inlineStr">
        <is>
          <t>CLI-00153</t>
        </is>
      </c>
      <c r="C1722" t="inlineStr">
        <is>
          <t>Réunion</t>
        </is>
      </c>
      <c r="D1722" t="inlineStr">
        <is>
          <t>auto</t>
        </is>
      </c>
      <c r="E1722" t="inlineStr">
        <is>
          <t>LLD</t>
        </is>
      </c>
      <c r="F1722" t="inlineStr">
        <is>
          <t>2024-06-21</t>
        </is>
      </c>
      <c r="G1722" s="4" t="n">
        <v>43444.16</v>
      </c>
      <c r="H1722" s="4">
        <f>MAX(0,G1722-SUMIFS('Paiements contrat'!$B:$B,'Paiements contrat'!$A:$A,A1722))</f>
        <v/>
      </c>
      <c r="I1722" s="4" t="n">
        <v>22137.46</v>
      </c>
      <c r="J1722" t="inlineStr">
        <is>
          <t>actif</t>
        </is>
      </c>
    </row>
    <row r="1723">
      <c r="A1723" t="inlineStr">
        <is>
          <t>CTR-01757</t>
        </is>
      </c>
      <c r="B1723" t="inlineStr">
        <is>
          <t>CLI-00969</t>
        </is>
      </c>
      <c r="C1723" t="inlineStr">
        <is>
          <t>Guyane</t>
        </is>
      </c>
      <c r="D1723" t="inlineStr">
        <is>
          <t>bateau</t>
        </is>
      </c>
      <c r="E1723" t="inlineStr">
        <is>
          <t>LOA</t>
        </is>
      </c>
      <c r="F1723" t="inlineStr">
        <is>
          <t>2024-12-25</t>
        </is>
      </c>
      <c r="G1723" s="4" t="n">
        <v>23406.03</v>
      </c>
      <c r="H1723" s="4">
        <f>MAX(0,G1723-SUMIFS('Paiements contrat'!$B:$B,'Paiements contrat'!$A:$A,A1723))</f>
        <v/>
      </c>
      <c r="I1723" s="4" t="n">
        <v>10916.85</v>
      </c>
      <c r="J1723" t="inlineStr">
        <is>
          <t>actif</t>
        </is>
      </c>
    </row>
    <row r="1724">
      <c r="A1724" t="inlineStr">
        <is>
          <t>CTR-01758</t>
        </is>
      </c>
      <c r="B1724" t="inlineStr">
        <is>
          <t>CLI-01183</t>
        </is>
      </c>
      <c r="C1724" t="inlineStr">
        <is>
          <t>Île-de-France</t>
        </is>
      </c>
      <c r="D1724" t="inlineStr">
        <is>
          <t>auto</t>
        </is>
      </c>
      <c r="E1724" t="inlineStr">
        <is>
          <t>LOA</t>
        </is>
      </c>
      <c r="F1724" t="inlineStr">
        <is>
          <t>2025-03-04</t>
        </is>
      </c>
      <c r="G1724" s="4" t="n">
        <v>32252.22</v>
      </c>
      <c r="H1724" s="4">
        <f>MAX(0,G1724-SUMIFS('Paiements contrat'!$B:$B,'Paiements contrat'!$A:$A,A1724))</f>
        <v/>
      </c>
      <c r="I1724" s="4" t="n">
        <v>23784.6</v>
      </c>
      <c r="J1724" t="inlineStr">
        <is>
          <t>actif</t>
        </is>
      </c>
    </row>
    <row r="1725">
      <c r="A1725" t="inlineStr">
        <is>
          <t>CTR-01759</t>
        </is>
      </c>
      <c r="B1725" t="inlineStr">
        <is>
          <t>CLI-00605</t>
        </is>
      </c>
      <c r="C1725" t="inlineStr">
        <is>
          <t>Île-de-France</t>
        </is>
      </c>
      <c r="D1725" t="inlineStr">
        <is>
          <t>auto</t>
        </is>
      </c>
      <c r="E1725" t="inlineStr">
        <is>
          <t>LLD</t>
        </is>
      </c>
      <c r="F1725" t="inlineStr">
        <is>
          <t>2025-05-06</t>
        </is>
      </c>
      <c r="G1725" s="4" t="n">
        <v>62048.65</v>
      </c>
      <c r="H1725" s="4">
        <f>MAX(0,G1725-SUMIFS('Paiements contrat'!$B:$B,'Paiements contrat'!$A:$A,A1725))</f>
        <v/>
      </c>
      <c r="I1725" s="4" t="n">
        <v>41884.46000000001</v>
      </c>
      <c r="J1725" t="inlineStr">
        <is>
          <t>actif</t>
        </is>
      </c>
    </row>
    <row r="1726">
      <c r="A1726" t="inlineStr">
        <is>
          <t>CTR-01760</t>
        </is>
      </c>
      <c r="B1726" t="inlineStr">
        <is>
          <t>CLI-00297</t>
        </is>
      </c>
      <c r="C1726" t="inlineStr">
        <is>
          <t>Île-de-France</t>
        </is>
      </c>
      <c r="D1726" t="inlineStr">
        <is>
          <t>auto</t>
        </is>
      </c>
      <c r="E1726" t="inlineStr">
        <is>
          <t>LLD</t>
        </is>
      </c>
      <c r="F1726" t="inlineStr">
        <is>
          <t>2025-10-24</t>
        </is>
      </c>
      <c r="G1726" s="4" t="n">
        <v>57928.26</v>
      </c>
      <c r="H1726" s="4">
        <f>MAX(0,G1726-SUMIFS('Paiements contrat'!$B:$B,'Paiements contrat'!$A:$A,A1726))</f>
        <v/>
      </c>
      <c r="I1726" s="4" t="n">
        <v>53385.98</v>
      </c>
      <c r="J1726" t="inlineStr">
        <is>
          <t>actif</t>
        </is>
      </c>
    </row>
    <row r="1727">
      <c r="A1727" t="inlineStr">
        <is>
          <t>CTR-01761</t>
        </is>
      </c>
      <c r="B1727" t="inlineStr">
        <is>
          <t>CLI-00487</t>
        </is>
      </c>
      <c r="C1727" t="inlineStr">
        <is>
          <t>Guyane</t>
        </is>
      </c>
      <c r="D1727" t="inlineStr">
        <is>
          <t>auto</t>
        </is>
      </c>
      <c r="E1727" t="inlineStr">
        <is>
          <t>LOA</t>
        </is>
      </c>
      <c r="F1727" t="inlineStr">
        <is>
          <t>2025-02-14</t>
        </is>
      </c>
      <c r="G1727" s="4" t="n">
        <v>53879.04</v>
      </c>
      <c r="H1727" s="4">
        <f>MAX(0,G1727-SUMIFS('Paiements contrat'!$B:$B,'Paiements contrat'!$A:$A,A1727))</f>
        <v/>
      </c>
      <c r="I1727" s="4" t="n">
        <v>38350.24876605632</v>
      </c>
      <c r="J1727" t="inlineStr">
        <is>
          <t>actif</t>
        </is>
      </c>
    </row>
    <row r="1728">
      <c r="A1728" t="inlineStr">
        <is>
          <t>CTR-01762</t>
        </is>
      </c>
      <c r="B1728" t="inlineStr">
        <is>
          <t>CLI-00372</t>
        </is>
      </c>
      <c r="C1728" t="inlineStr">
        <is>
          <t>Guyane</t>
        </is>
      </c>
      <c r="D1728" t="inlineStr">
        <is>
          <t>auto</t>
        </is>
      </c>
      <c r="E1728" t="inlineStr">
        <is>
          <t>LLD</t>
        </is>
      </c>
      <c r="F1728" t="inlineStr">
        <is>
          <t>2025-10-23</t>
        </is>
      </c>
      <c r="G1728" s="4" t="n">
        <v>56592.98</v>
      </c>
      <c r="H1728" s="4">
        <f>MAX(0,G1728-SUMIFS('Paiements contrat'!$B:$B,'Paiements contrat'!$A:$A,A1728))</f>
        <v/>
      </c>
      <c r="I1728" s="4" t="n">
        <v>46421.01643227142</v>
      </c>
      <c r="J1728" t="inlineStr">
        <is>
          <t>actif</t>
        </is>
      </c>
    </row>
    <row r="1729">
      <c r="A1729" t="inlineStr">
        <is>
          <t>CTR-01763</t>
        </is>
      </c>
      <c r="B1729" t="inlineStr">
        <is>
          <t>CLI-01045</t>
        </is>
      </c>
      <c r="C1729" t="inlineStr">
        <is>
          <t>Île-de-France</t>
        </is>
      </c>
      <c r="D1729" t="inlineStr">
        <is>
          <t>bateau</t>
        </is>
      </c>
      <c r="E1729" t="inlineStr">
        <is>
          <t>LOA</t>
        </is>
      </c>
      <c r="F1729" t="inlineStr">
        <is>
          <t>2025-02-16</t>
        </is>
      </c>
      <c r="G1729" s="4" t="n">
        <v>74378.53</v>
      </c>
      <c r="H1729" s="4">
        <f>MAX(0,G1729-SUMIFS('Paiements contrat'!$B:$B,'Paiements contrat'!$A:$A,A1729))</f>
        <v/>
      </c>
      <c r="I1729" s="4" t="n">
        <v>51098.58</v>
      </c>
      <c r="J1729" t="inlineStr">
        <is>
          <t>actif</t>
        </is>
      </c>
    </row>
    <row r="1730">
      <c r="A1730" t="inlineStr">
        <is>
          <t>CTR-01764</t>
        </is>
      </c>
      <c r="B1730" t="inlineStr">
        <is>
          <t>CLI-00567</t>
        </is>
      </c>
      <c r="C1730" t="inlineStr">
        <is>
          <t>Île-de-France</t>
        </is>
      </c>
      <c r="D1730" t="inlineStr">
        <is>
          <t>materiel</t>
        </is>
      </c>
      <c r="E1730" t="inlineStr">
        <is>
          <t>crédit-bail</t>
        </is>
      </c>
      <c r="F1730" t="inlineStr">
        <is>
          <t>2025-06-15</t>
        </is>
      </c>
      <c r="G1730" s="4" t="n">
        <v>164199.66</v>
      </c>
      <c r="H1730" s="4">
        <f>MAX(0,G1730-SUMIFS('Paiements contrat'!$B:$B,'Paiements contrat'!$A:$A,A1730))</f>
        <v/>
      </c>
      <c r="I1730" s="4" t="n">
        <v>112180.8</v>
      </c>
      <c r="J1730" t="inlineStr">
        <is>
          <t>actif</t>
        </is>
      </c>
    </row>
    <row r="1731">
      <c r="A1731" t="inlineStr">
        <is>
          <t>CTR-01765</t>
        </is>
      </c>
      <c r="B1731" t="inlineStr">
        <is>
          <t>CLI-01217</t>
        </is>
      </c>
      <c r="C1731" t="inlineStr">
        <is>
          <t>Réunion</t>
        </is>
      </c>
      <c r="D1731" t="inlineStr">
        <is>
          <t>auto</t>
        </is>
      </c>
      <c r="E1731" t="inlineStr">
        <is>
          <t>LLD</t>
        </is>
      </c>
      <c r="F1731" t="inlineStr">
        <is>
          <t>2025-07-07</t>
        </is>
      </c>
      <c r="G1731" s="4" t="n">
        <v>34332.64</v>
      </c>
      <c r="H1731" s="4">
        <f>MAX(0,G1731-SUMIFS('Paiements contrat'!$B:$B,'Paiements contrat'!$A:$A,A1731))</f>
        <v/>
      </c>
      <c r="I1731" s="4" t="n">
        <v>26995.04</v>
      </c>
      <c r="J1731" t="inlineStr">
        <is>
          <t>actif</t>
        </is>
      </c>
    </row>
    <row r="1732">
      <c r="A1732" t="inlineStr">
        <is>
          <t>CTR-01766</t>
        </is>
      </c>
      <c r="B1732" t="inlineStr">
        <is>
          <t>CLI-00063</t>
        </is>
      </c>
      <c r="C1732" t="inlineStr">
        <is>
          <t>Île-de-France</t>
        </is>
      </c>
      <c r="D1732" t="inlineStr">
        <is>
          <t>auto</t>
        </is>
      </c>
      <c r="E1732" t="inlineStr">
        <is>
          <t>LOA</t>
        </is>
      </c>
      <c r="F1732" t="inlineStr">
        <is>
          <t>2024-12-17</t>
        </is>
      </c>
      <c r="G1732" s="4" t="n">
        <v>62203.19</v>
      </c>
      <c r="H1732" s="4">
        <f>MAX(0,G1732-SUMIFS('Paiements contrat'!$B:$B,'Paiements contrat'!$A:$A,A1732))</f>
        <v/>
      </c>
      <c r="I1732" s="4" t="n">
        <v>41367.46000000001</v>
      </c>
      <c r="J1732" t="inlineStr">
        <is>
          <t>actif</t>
        </is>
      </c>
    </row>
    <row r="1733">
      <c r="A1733" t="inlineStr">
        <is>
          <t>CTR-01767</t>
        </is>
      </c>
      <c r="B1733" t="inlineStr">
        <is>
          <t>CLI-01194</t>
        </is>
      </c>
      <c r="C1733" t="inlineStr">
        <is>
          <t>Guadeloupe</t>
        </is>
      </c>
      <c r="D1733" t="inlineStr">
        <is>
          <t>materiel</t>
        </is>
      </c>
      <c r="E1733" t="inlineStr">
        <is>
          <t>crédit-bail</t>
        </is>
      </c>
      <c r="F1733" t="inlineStr">
        <is>
          <t>2024-10-27</t>
        </is>
      </c>
      <c r="G1733" s="4" t="n">
        <v>71803.48</v>
      </c>
      <c r="H1733" s="4">
        <f>MAX(0,G1733-SUMIFS('Paiements contrat'!$B:$B,'Paiements contrat'!$A:$A,A1733))</f>
        <v/>
      </c>
      <c r="I1733" s="4" t="n">
        <v>24327</v>
      </c>
      <c r="J1733" t="inlineStr">
        <is>
          <t>actif</t>
        </is>
      </c>
    </row>
    <row r="1734">
      <c r="A1734" t="inlineStr">
        <is>
          <t>CTR-01768</t>
        </is>
      </c>
      <c r="B1734" t="inlineStr">
        <is>
          <t>CLI-01455</t>
        </is>
      </c>
      <c r="C1734" t="inlineStr">
        <is>
          <t>Guadeloupe</t>
        </is>
      </c>
      <c r="D1734" t="inlineStr">
        <is>
          <t>auto</t>
        </is>
      </c>
      <c r="E1734" t="inlineStr">
        <is>
          <t>LLD</t>
        </is>
      </c>
      <c r="F1734" t="inlineStr">
        <is>
          <t>2024-12-26</t>
        </is>
      </c>
      <c r="G1734" s="4" t="n">
        <v>57094.48</v>
      </c>
      <c r="H1734" s="4">
        <f>MAX(0,G1734-SUMIFS('Paiements contrat'!$B:$B,'Paiements contrat'!$A:$A,A1734))</f>
        <v/>
      </c>
      <c r="I1734" s="4" t="n">
        <v>34135.13</v>
      </c>
      <c r="J1734" t="inlineStr">
        <is>
          <t>actif</t>
        </is>
      </c>
    </row>
    <row r="1735">
      <c r="A1735" t="inlineStr">
        <is>
          <t>CTR-01769</t>
        </is>
      </c>
      <c r="B1735" t="inlineStr">
        <is>
          <t>CLI-00608</t>
        </is>
      </c>
      <c r="C1735" t="inlineStr">
        <is>
          <t>Île-de-France</t>
        </is>
      </c>
      <c r="D1735" t="inlineStr">
        <is>
          <t>materiel</t>
        </is>
      </c>
      <c r="E1735" t="inlineStr">
        <is>
          <t>crédit-bail</t>
        </is>
      </c>
      <c r="F1735" t="inlineStr">
        <is>
          <t>2024-11-13</t>
        </is>
      </c>
      <c r="G1735" s="4" t="n">
        <v>145492.15</v>
      </c>
      <c r="H1735" s="4">
        <f>MAX(0,G1735-SUMIFS('Paiements contrat'!$B:$B,'Paiements contrat'!$A:$A,A1735))</f>
        <v/>
      </c>
      <c r="I1735" s="4" t="n">
        <v>86549.34</v>
      </c>
      <c r="J1735" t="inlineStr">
        <is>
          <t>actif</t>
        </is>
      </c>
    </row>
    <row r="1736">
      <c r="A1736" t="inlineStr">
        <is>
          <t>CTR-01770</t>
        </is>
      </c>
      <c r="B1736" t="inlineStr">
        <is>
          <t>CLI-01163</t>
        </is>
      </c>
      <c r="C1736" t="inlineStr">
        <is>
          <t>Martinique</t>
        </is>
      </c>
      <c r="D1736" t="inlineStr">
        <is>
          <t>auto</t>
        </is>
      </c>
      <c r="E1736" t="inlineStr">
        <is>
          <t>LOA</t>
        </is>
      </c>
      <c r="F1736" t="inlineStr">
        <is>
          <t>2025-04-01</t>
        </is>
      </c>
      <c r="G1736" s="4" t="n">
        <v>45517.76</v>
      </c>
      <c r="H1736" s="4">
        <f>MAX(0,G1736-SUMIFS('Paiements contrat'!$B:$B,'Paiements contrat'!$A:$A,A1736))</f>
        <v/>
      </c>
      <c r="I1736" s="4" t="n">
        <v>32571.57</v>
      </c>
      <c r="J1736" t="inlineStr">
        <is>
          <t>actif</t>
        </is>
      </c>
    </row>
    <row r="1737">
      <c r="A1737" t="inlineStr">
        <is>
          <t>CTR-01771</t>
        </is>
      </c>
      <c r="B1737" t="inlineStr">
        <is>
          <t>CLI-00674</t>
        </is>
      </c>
      <c r="C1737" t="inlineStr">
        <is>
          <t>Réunion</t>
        </is>
      </c>
      <c r="D1737" t="inlineStr">
        <is>
          <t>materiel</t>
        </is>
      </c>
      <c r="E1737" t="inlineStr">
        <is>
          <t>crédit-bail</t>
        </is>
      </c>
      <c r="F1737" t="inlineStr">
        <is>
          <t>2026-03-10</t>
        </is>
      </c>
      <c r="G1737" s="4" t="n">
        <v>145411.9</v>
      </c>
      <c r="H1737" s="4">
        <f>MAX(0,G1737-SUMIFS('Paiements contrat'!$B:$B,'Paiements contrat'!$A:$A,A1737))</f>
        <v/>
      </c>
      <c r="I1737" s="4" t="n">
        <v>145411.9</v>
      </c>
      <c r="J1737" t="inlineStr">
        <is>
          <t>actif</t>
        </is>
      </c>
    </row>
    <row r="1738">
      <c r="A1738" t="inlineStr">
        <is>
          <t>CTR-01772</t>
        </is>
      </c>
      <c r="B1738" t="inlineStr">
        <is>
          <t>CLI-00292</t>
        </is>
      </c>
      <c r="C1738" t="inlineStr">
        <is>
          <t>Île-de-France</t>
        </is>
      </c>
      <c r="D1738" t="inlineStr">
        <is>
          <t>auto</t>
        </is>
      </c>
      <c r="E1738" t="inlineStr">
        <is>
          <t>LLD</t>
        </is>
      </c>
      <c r="F1738" t="inlineStr">
        <is>
          <t>2026-02-22</t>
        </is>
      </c>
      <c r="G1738" s="4" t="n">
        <v>65881.57000000001</v>
      </c>
      <c r="H1738" s="4">
        <f>MAX(0,G1738-SUMIFS('Paiements contrat'!$B:$B,'Paiements contrat'!$A:$A,A1738))</f>
        <v/>
      </c>
      <c r="I1738" s="4" t="n">
        <v>65881.57000000001</v>
      </c>
      <c r="J1738" t="inlineStr">
        <is>
          <t>actif</t>
        </is>
      </c>
    </row>
    <row r="1739">
      <c r="A1739" t="inlineStr">
        <is>
          <t>CTR-01773</t>
        </is>
      </c>
      <c r="B1739" t="inlineStr">
        <is>
          <t>CLI-00921</t>
        </is>
      </c>
      <c r="C1739" t="inlineStr">
        <is>
          <t>Île-de-France</t>
        </is>
      </c>
      <c r="D1739" t="inlineStr">
        <is>
          <t>auto</t>
        </is>
      </c>
      <c r="E1739" t="inlineStr">
        <is>
          <t>LLD</t>
        </is>
      </c>
      <c r="F1739" t="inlineStr">
        <is>
          <t>2024-08-02</t>
        </is>
      </c>
      <c r="G1739" s="4" t="n">
        <v>63891.1</v>
      </c>
      <c r="H1739" s="4">
        <f>MAX(0,G1739-SUMIFS('Paiements contrat'!$B:$B,'Paiements contrat'!$A:$A,A1739))</f>
        <v/>
      </c>
      <c r="I1739" s="4" t="n">
        <v>19573.73</v>
      </c>
      <c r="J1739" t="inlineStr">
        <is>
          <t>actif</t>
        </is>
      </c>
    </row>
    <row r="1740">
      <c r="A1740" t="inlineStr">
        <is>
          <t>CTR-01774</t>
        </is>
      </c>
      <c r="B1740" t="inlineStr">
        <is>
          <t>CLI-00558</t>
        </is>
      </c>
      <c r="C1740" t="inlineStr">
        <is>
          <t>Guadeloupe</t>
        </is>
      </c>
      <c r="D1740" t="inlineStr">
        <is>
          <t>materiel</t>
        </is>
      </c>
      <c r="E1740" t="inlineStr">
        <is>
          <t>crédit-bail</t>
        </is>
      </c>
      <c r="F1740" t="inlineStr">
        <is>
          <t>2026-01-08</t>
        </is>
      </c>
      <c r="G1740" s="4" t="n">
        <v>39589.77</v>
      </c>
      <c r="H1740" s="4">
        <f>MAX(0,G1740-SUMIFS('Paiements contrat'!$B:$B,'Paiements contrat'!$A:$A,A1740))</f>
        <v/>
      </c>
      <c r="I1740" s="4" t="n">
        <v>37681.38207625305</v>
      </c>
      <c r="J1740" t="inlineStr">
        <is>
          <t>actif</t>
        </is>
      </c>
    </row>
    <row r="1741">
      <c r="A1741" t="inlineStr">
        <is>
          <t>CTR-01775</t>
        </is>
      </c>
      <c r="B1741" t="inlineStr">
        <is>
          <t>CLI-00891</t>
        </is>
      </c>
      <c r="C1741" t="inlineStr">
        <is>
          <t>Guyane</t>
        </is>
      </c>
      <c r="D1741" t="inlineStr">
        <is>
          <t>auto</t>
        </is>
      </c>
      <c r="E1741" t="inlineStr">
        <is>
          <t>LOA</t>
        </is>
      </c>
      <c r="F1741" t="inlineStr">
        <is>
          <t>2024-04-27</t>
        </is>
      </c>
      <c r="G1741" s="4" t="n">
        <v>41169.06</v>
      </c>
      <c r="H1741" s="4">
        <f>MAX(0,G1741-SUMIFS('Paiements contrat'!$B:$B,'Paiements contrat'!$A:$A,A1741))</f>
        <v/>
      </c>
      <c r="I1741" s="4" t="n">
        <v>15390.39</v>
      </c>
      <c r="J1741" t="inlineStr">
        <is>
          <t>actif</t>
        </is>
      </c>
    </row>
    <row r="1742">
      <c r="A1742" t="inlineStr">
        <is>
          <t>CTR-01776</t>
        </is>
      </c>
      <c r="B1742" t="inlineStr">
        <is>
          <t>CLI-00541</t>
        </is>
      </c>
      <c r="C1742" t="inlineStr">
        <is>
          <t>Guadeloupe</t>
        </is>
      </c>
      <c r="D1742" t="inlineStr">
        <is>
          <t>materiel</t>
        </is>
      </c>
      <c r="E1742" t="inlineStr">
        <is>
          <t>crédit-bail</t>
        </is>
      </c>
      <c r="F1742" t="inlineStr">
        <is>
          <t>2025-07-01</t>
        </is>
      </c>
      <c r="G1742" s="4" t="n">
        <v>124273.3</v>
      </c>
      <c r="H1742" s="4">
        <f>MAX(0,G1742-SUMIFS('Paiements contrat'!$B:$B,'Paiements contrat'!$A:$A,A1742))</f>
        <v/>
      </c>
      <c r="I1742" s="4" t="n">
        <v>93901.19</v>
      </c>
      <c r="J1742" t="inlineStr">
        <is>
          <t>actif</t>
        </is>
      </c>
    </row>
    <row r="1743">
      <c r="A1743" t="inlineStr">
        <is>
          <t>CTR-01777</t>
        </is>
      </c>
      <c r="B1743" t="inlineStr">
        <is>
          <t>CLI-01382</t>
        </is>
      </c>
      <c r="C1743" t="inlineStr">
        <is>
          <t>Martinique</t>
        </is>
      </c>
      <c r="D1743" t="inlineStr">
        <is>
          <t>auto</t>
        </is>
      </c>
      <c r="E1743" t="inlineStr">
        <is>
          <t>LOA</t>
        </is>
      </c>
      <c r="F1743" t="inlineStr">
        <is>
          <t>2025-03-21</t>
        </is>
      </c>
      <c r="G1743" s="4" t="n">
        <v>63990.48</v>
      </c>
      <c r="H1743" s="4">
        <f>MAX(0,G1743-SUMIFS('Paiements contrat'!$B:$B,'Paiements contrat'!$A:$A,A1743))</f>
        <v/>
      </c>
      <c r="I1743" s="4" t="n">
        <v>48535.24046322105</v>
      </c>
      <c r="J1743" t="inlineStr">
        <is>
          <t>actif</t>
        </is>
      </c>
    </row>
    <row r="1744">
      <c r="A1744" t="inlineStr">
        <is>
          <t>CTR-01778</t>
        </is>
      </c>
      <c r="B1744" t="inlineStr">
        <is>
          <t>CLI-01304</t>
        </is>
      </c>
      <c r="C1744" t="inlineStr">
        <is>
          <t>Réunion</t>
        </is>
      </c>
      <c r="D1744" t="inlineStr">
        <is>
          <t>materiel</t>
        </is>
      </c>
      <c r="E1744" t="inlineStr">
        <is>
          <t>crédit-bail</t>
        </is>
      </c>
      <c r="F1744" t="inlineStr">
        <is>
          <t>2025-04-14</t>
        </is>
      </c>
      <c r="G1744" s="4" t="n">
        <v>127203.59</v>
      </c>
      <c r="H1744" s="4">
        <f>MAX(0,G1744-SUMIFS('Paiements contrat'!$B:$B,'Paiements contrat'!$A:$A,A1744))</f>
        <v/>
      </c>
      <c r="I1744" s="4" t="n">
        <v>92885.39</v>
      </c>
      <c r="J1744" t="inlineStr">
        <is>
          <t>actif</t>
        </is>
      </c>
    </row>
    <row r="1745">
      <c r="A1745" t="inlineStr">
        <is>
          <t>CTR-01779</t>
        </is>
      </c>
      <c r="B1745" t="inlineStr">
        <is>
          <t>CLI-00833</t>
        </is>
      </c>
      <c r="C1745" t="inlineStr">
        <is>
          <t>Martinique</t>
        </is>
      </c>
      <c r="D1745" t="inlineStr">
        <is>
          <t>auto</t>
        </is>
      </c>
      <c r="E1745" t="inlineStr">
        <is>
          <t>LOA</t>
        </is>
      </c>
      <c r="F1745" t="inlineStr">
        <is>
          <t>2026-03-11</t>
        </is>
      </c>
      <c r="G1745" s="4" t="n">
        <v>24088.47</v>
      </c>
      <c r="H1745" s="4">
        <f>MAX(0,G1745-SUMIFS('Paiements contrat'!$B:$B,'Paiements contrat'!$A:$A,A1745))</f>
        <v/>
      </c>
      <c r="I1745" s="4" t="n">
        <v>24088.47</v>
      </c>
      <c r="J1745" t="inlineStr">
        <is>
          <t>actif</t>
        </is>
      </c>
    </row>
    <row r="1746">
      <c r="A1746" t="inlineStr">
        <is>
          <t>CTR-01780</t>
        </is>
      </c>
      <c r="B1746" t="inlineStr">
        <is>
          <t>CLI-00850</t>
        </is>
      </c>
      <c r="C1746" t="inlineStr">
        <is>
          <t>Guadeloupe</t>
        </is>
      </c>
      <c r="D1746" t="inlineStr">
        <is>
          <t>materiel</t>
        </is>
      </c>
      <c r="E1746" t="inlineStr">
        <is>
          <t>crédit-bail</t>
        </is>
      </c>
      <c r="F1746" t="inlineStr">
        <is>
          <t>2025-11-04</t>
        </is>
      </c>
      <c r="G1746" s="4" t="n">
        <v>93365.88</v>
      </c>
      <c r="H1746" s="4">
        <f>MAX(0,G1746-SUMIFS('Paiements contrat'!$B:$B,'Paiements contrat'!$A:$A,A1746))</f>
        <v/>
      </c>
      <c r="I1746" s="4" t="n">
        <v>81995.93000000001</v>
      </c>
      <c r="J1746" t="inlineStr">
        <is>
          <t>actif</t>
        </is>
      </c>
    </row>
    <row r="1747">
      <c r="A1747" t="inlineStr">
        <is>
          <t>CTR-01782</t>
        </is>
      </c>
      <c r="B1747" t="inlineStr">
        <is>
          <t>CLI-01196</t>
        </is>
      </c>
      <c r="C1747" t="inlineStr">
        <is>
          <t>Île-de-France</t>
        </is>
      </c>
      <c r="D1747" t="inlineStr">
        <is>
          <t>materiel</t>
        </is>
      </c>
      <c r="E1747" t="inlineStr">
        <is>
          <t>crédit-bail</t>
        </is>
      </c>
      <c r="F1747" t="inlineStr">
        <is>
          <t>2025-09-01</t>
        </is>
      </c>
      <c r="G1747" s="4" t="n">
        <v>136546.46</v>
      </c>
      <c r="H1747" s="4">
        <f>MAX(0,G1747-SUMIFS('Paiements contrat'!$B:$B,'Paiements contrat'!$A:$A,A1747))</f>
        <v/>
      </c>
      <c r="I1747" s="4" t="n">
        <v>123725.16</v>
      </c>
      <c r="J1747" t="inlineStr">
        <is>
          <t>actif</t>
        </is>
      </c>
    </row>
    <row r="1748">
      <c r="A1748" t="inlineStr">
        <is>
          <t>CTR-01783</t>
        </is>
      </c>
      <c r="B1748" t="inlineStr">
        <is>
          <t>CLI-01201</t>
        </is>
      </c>
      <c r="C1748" t="inlineStr">
        <is>
          <t>Guadeloupe</t>
        </is>
      </c>
      <c r="D1748" t="inlineStr">
        <is>
          <t>materiel</t>
        </is>
      </c>
      <c r="E1748" t="inlineStr">
        <is>
          <t>crédit-bail</t>
        </is>
      </c>
      <c r="F1748" t="inlineStr">
        <is>
          <t>2025-02-06</t>
        </is>
      </c>
      <c r="G1748" s="4" t="n">
        <v>84678.73</v>
      </c>
      <c r="H1748" s="4">
        <f>MAX(0,G1748-SUMIFS('Paiements contrat'!$B:$B,'Paiements contrat'!$A:$A,A1748))</f>
        <v/>
      </c>
      <c r="I1748" s="4" t="n">
        <v>67404</v>
      </c>
      <c r="J1748" t="inlineStr">
        <is>
          <t>actif</t>
        </is>
      </c>
    </row>
    <row r="1749">
      <c r="A1749" t="inlineStr">
        <is>
          <t>CTR-01784</t>
        </is>
      </c>
      <c r="B1749" t="inlineStr">
        <is>
          <t>CLI-00015</t>
        </is>
      </c>
      <c r="C1749" t="inlineStr">
        <is>
          <t>Réunion</t>
        </is>
      </c>
      <c r="D1749" t="inlineStr">
        <is>
          <t>materiel</t>
        </is>
      </c>
      <c r="E1749" t="inlineStr">
        <is>
          <t>crédit-bail</t>
        </is>
      </c>
      <c r="F1749" t="inlineStr">
        <is>
          <t>2025-06-25</t>
        </is>
      </c>
      <c r="G1749" s="4" t="n">
        <v>46264.84</v>
      </c>
      <c r="H1749" s="4">
        <f>MAX(0,G1749-SUMIFS('Paiements contrat'!$B:$B,'Paiements contrat'!$A:$A,A1749))</f>
        <v/>
      </c>
      <c r="I1749" s="4" t="n">
        <v>32764.8</v>
      </c>
      <c r="J1749" t="inlineStr">
        <is>
          <t>actif</t>
        </is>
      </c>
    </row>
    <row r="1750">
      <c r="A1750" t="inlineStr">
        <is>
          <t>CTR-01785</t>
        </is>
      </c>
      <c r="B1750" t="inlineStr">
        <is>
          <t>CLI-01207</t>
        </is>
      </c>
      <c r="C1750" t="inlineStr">
        <is>
          <t>Martinique</t>
        </is>
      </c>
      <c r="D1750" t="inlineStr">
        <is>
          <t>materiel</t>
        </is>
      </c>
      <c r="E1750" t="inlineStr">
        <is>
          <t>crédit-bail</t>
        </is>
      </c>
      <c r="F1750" t="inlineStr">
        <is>
          <t>2024-11-02</t>
        </is>
      </c>
      <c r="G1750" s="4" t="n">
        <v>173283.17</v>
      </c>
      <c r="H1750" s="4">
        <f>MAX(0,G1750-SUMIFS('Paiements contrat'!$B:$B,'Paiements contrat'!$A:$A,A1750))</f>
        <v/>
      </c>
      <c r="I1750" s="4" t="n">
        <v>133531.8078886466</v>
      </c>
      <c r="J1750" t="inlineStr">
        <is>
          <t>actif</t>
        </is>
      </c>
    </row>
    <row r="1751">
      <c r="A1751" t="inlineStr">
        <is>
          <t>CTR-01786</t>
        </is>
      </c>
      <c r="B1751" t="inlineStr">
        <is>
          <t>CLI-01073</t>
        </is>
      </c>
      <c r="C1751" t="inlineStr">
        <is>
          <t>Guadeloupe</t>
        </is>
      </c>
      <c r="D1751" t="inlineStr">
        <is>
          <t>auto</t>
        </is>
      </c>
      <c r="E1751" t="inlineStr">
        <is>
          <t>LLD</t>
        </is>
      </c>
      <c r="F1751" t="inlineStr">
        <is>
          <t>2024-08-05</t>
        </is>
      </c>
      <c r="G1751" s="4" t="n">
        <v>35031.2</v>
      </c>
      <c r="H1751" s="4">
        <f>MAX(0,G1751-SUMIFS('Paiements contrat'!$B:$B,'Paiements contrat'!$A:$A,A1751))</f>
        <v/>
      </c>
      <c r="I1751" s="4" t="n">
        <v>24604.88633482489</v>
      </c>
      <c r="J1751" t="inlineStr">
        <is>
          <t>actif</t>
        </is>
      </c>
    </row>
    <row r="1752">
      <c r="A1752" t="inlineStr">
        <is>
          <t>CTR-01787</t>
        </is>
      </c>
      <c r="B1752" t="inlineStr">
        <is>
          <t>CLI-01367</t>
        </is>
      </c>
      <c r="C1752" t="inlineStr">
        <is>
          <t>Martinique</t>
        </is>
      </c>
      <c r="D1752" t="inlineStr">
        <is>
          <t>auto</t>
        </is>
      </c>
      <c r="E1752" t="inlineStr">
        <is>
          <t>LLD</t>
        </is>
      </c>
      <c r="F1752" t="inlineStr">
        <is>
          <t>2024-08-07</t>
        </is>
      </c>
      <c r="G1752" s="4" t="n">
        <v>56361.73</v>
      </c>
      <c r="H1752" s="4">
        <f>MAX(0,G1752-SUMIFS('Paiements contrat'!$B:$B,'Paiements contrat'!$A:$A,A1752))</f>
        <v/>
      </c>
      <c r="I1752" s="4" t="n">
        <v>6277.237528148471</v>
      </c>
      <c r="J1752" t="inlineStr">
        <is>
          <t>soldé</t>
        </is>
      </c>
    </row>
    <row r="1753">
      <c r="A1753" t="inlineStr">
        <is>
          <t>CTR-01788</t>
        </is>
      </c>
      <c r="B1753" t="inlineStr">
        <is>
          <t>CLI-01437</t>
        </is>
      </c>
      <c r="C1753" t="inlineStr">
        <is>
          <t>Île-de-France</t>
        </is>
      </c>
      <c r="D1753" t="inlineStr">
        <is>
          <t>materiel</t>
        </is>
      </c>
      <c r="E1753" t="inlineStr">
        <is>
          <t>crédit-bail</t>
        </is>
      </c>
      <c r="F1753" t="inlineStr">
        <is>
          <t>2025-05-09</t>
        </is>
      </c>
      <c r="G1753" s="4" t="n">
        <v>63719.66</v>
      </c>
      <c r="H1753" s="4">
        <f>MAX(0,G1753-SUMIFS('Paiements contrat'!$B:$B,'Paiements contrat'!$A:$A,A1753))</f>
        <v/>
      </c>
      <c r="I1753" s="4" t="n">
        <v>21465.89</v>
      </c>
      <c r="J1753" t="inlineStr">
        <is>
          <t>actif</t>
        </is>
      </c>
    </row>
    <row r="1754">
      <c r="A1754" t="inlineStr">
        <is>
          <t>CTR-01789</t>
        </is>
      </c>
      <c r="B1754" t="inlineStr">
        <is>
          <t>CLI-01080</t>
        </is>
      </c>
      <c r="C1754" t="inlineStr">
        <is>
          <t>Île-de-France</t>
        </is>
      </c>
      <c r="D1754" t="inlineStr">
        <is>
          <t>auto</t>
        </is>
      </c>
      <c r="E1754" t="inlineStr">
        <is>
          <t>LLD</t>
        </is>
      </c>
      <c r="F1754" t="inlineStr">
        <is>
          <t>2025-09-14</t>
        </is>
      </c>
      <c r="G1754" s="4" t="n">
        <v>60824.21</v>
      </c>
      <c r="H1754" s="4">
        <f>MAX(0,G1754-SUMIFS('Paiements contrat'!$B:$B,'Paiements contrat'!$A:$A,A1754))</f>
        <v/>
      </c>
      <c r="I1754" s="4" t="n">
        <v>51690.38</v>
      </c>
      <c r="J1754" t="inlineStr">
        <is>
          <t>actif</t>
        </is>
      </c>
    </row>
    <row r="1755">
      <c r="A1755" t="inlineStr">
        <is>
          <t>CTR-01790</t>
        </is>
      </c>
      <c r="B1755" t="inlineStr">
        <is>
          <t>CLI-00492</t>
        </is>
      </c>
      <c r="C1755" t="inlineStr">
        <is>
          <t>Guyane</t>
        </is>
      </c>
      <c r="D1755" t="inlineStr">
        <is>
          <t>materiel</t>
        </is>
      </c>
      <c r="E1755" t="inlineStr">
        <is>
          <t>crédit-bail</t>
        </is>
      </c>
      <c r="F1755" t="inlineStr">
        <is>
          <t>2025-03-02</t>
        </is>
      </c>
      <c r="G1755" s="4" t="n">
        <v>33253.3</v>
      </c>
      <c r="H1755" s="4">
        <f>MAX(0,G1755-SUMIFS('Paiements contrat'!$B:$B,'Paiements contrat'!$A:$A,A1755))</f>
        <v/>
      </c>
      <c r="I1755" s="4" t="n">
        <v>23700.38680669424</v>
      </c>
      <c r="J1755" t="inlineStr">
        <is>
          <t>actif</t>
        </is>
      </c>
    </row>
    <row r="1756">
      <c r="A1756" t="inlineStr">
        <is>
          <t>CTR-01791</t>
        </is>
      </c>
      <c r="B1756" t="inlineStr">
        <is>
          <t>CLI-01457</t>
        </is>
      </c>
      <c r="C1756" t="inlineStr">
        <is>
          <t>Guyane</t>
        </is>
      </c>
      <c r="D1756" t="inlineStr">
        <is>
          <t>bateau</t>
        </is>
      </c>
      <c r="E1756" t="inlineStr">
        <is>
          <t>LOA</t>
        </is>
      </c>
      <c r="F1756" t="inlineStr">
        <is>
          <t>2025-06-06</t>
        </is>
      </c>
      <c r="G1756" s="4" t="n">
        <v>288564.48</v>
      </c>
      <c r="H1756" s="4">
        <f>MAX(0,G1756-SUMIFS('Paiements contrat'!$B:$B,'Paiements contrat'!$A:$A,A1756))</f>
        <v/>
      </c>
      <c r="I1756" s="4" t="n">
        <v>223133.79</v>
      </c>
      <c r="J1756" t="inlineStr">
        <is>
          <t>actif</t>
        </is>
      </c>
    </row>
    <row r="1757">
      <c r="A1757" t="inlineStr">
        <is>
          <t>CTR-01793</t>
        </is>
      </c>
      <c r="B1757" t="inlineStr">
        <is>
          <t>CLI-01202</t>
        </is>
      </c>
      <c r="C1757" t="inlineStr">
        <is>
          <t>Île-de-France</t>
        </is>
      </c>
      <c r="D1757" t="inlineStr">
        <is>
          <t>auto</t>
        </is>
      </c>
      <c r="E1757" t="inlineStr">
        <is>
          <t>LOA</t>
        </is>
      </c>
      <c r="F1757" t="inlineStr">
        <is>
          <t>2025-09-21</t>
        </is>
      </c>
      <c r="G1757" s="4" t="n">
        <v>53840.86</v>
      </c>
      <c r="H1757" s="4">
        <f>MAX(0,G1757-SUMIFS('Paiements contrat'!$B:$B,'Paiements contrat'!$A:$A,A1757))</f>
        <v/>
      </c>
      <c r="I1757" s="4" t="n">
        <v>42904.66</v>
      </c>
      <c r="J1757" t="inlineStr">
        <is>
          <t>actif</t>
        </is>
      </c>
    </row>
    <row r="1758">
      <c r="A1758" t="inlineStr">
        <is>
          <t>CTR-01794</t>
        </is>
      </c>
      <c r="B1758" t="inlineStr">
        <is>
          <t>CLI-00784</t>
        </is>
      </c>
      <c r="C1758" t="inlineStr">
        <is>
          <t>Île-de-France</t>
        </is>
      </c>
      <c r="D1758" t="inlineStr">
        <is>
          <t>materiel</t>
        </is>
      </c>
      <c r="E1758" t="inlineStr">
        <is>
          <t>crédit-bail</t>
        </is>
      </c>
      <c r="F1758" t="inlineStr">
        <is>
          <t>2024-08-04</t>
        </is>
      </c>
      <c r="G1758" s="4" t="n">
        <v>45400.69</v>
      </c>
      <c r="H1758" s="4">
        <f>MAX(0,G1758-SUMIFS('Paiements contrat'!$B:$B,'Paiements contrat'!$A:$A,A1758))</f>
        <v/>
      </c>
      <c r="I1758" s="4" t="n">
        <v>6382.994706636957</v>
      </c>
      <c r="J1758" t="inlineStr">
        <is>
          <t>soldé</t>
        </is>
      </c>
    </row>
    <row r="1759">
      <c r="A1759" t="inlineStr">
        <is>
          <t>CTR-01795</t>
        </is>
      </c>
      <c r="B1759" t="inlineStr">
        <is>
          <t>CLI-00426</t>
        </is>
      </c>
      <c r="C1759" t="inlineStr">
        <is>
          <t>Île-de-France</t>
        </is>
      </c>
      <c r="D1759" t="inlineStr">
        <is>
          <t>materiel</t>
        </is>
      </c>
      <c r="E1759" t="inlineStr">
        <is>
          <t>crédit-bail</t>
        </is>
      </c>
      <c r="F1759" t="inlineStr">
        <is>
          <t>2024-12-02</t>
        </is>
      </c>
      <c r="G1759" s="4" t="n">
        <v>39900.99</v>
      </c>
      <c r="H1759" s="4">
        <f>MAX(0,G1759-SUMIFS('Paiements contrat'!$B:$B,'Paiements contrat'!$A:$A,A1759))</f>
        <v/>
      </c>
      <c r="I1759" s="4" t="n">
        <v>23693.57109160712</v>
      </c>
      <c r="J1759" t="inlineStr">
        <is>
          <t>actif</t>
        </is>
      </c>
    </row>
    <row r="1760">
      <c r="A1760" t="inlineStr">
        <is>
          <t>CTR-01796</t>
        </is>
      </c>
      <c r="B1760" t="inlineStr">
        <is>
          <t>CLI-00422</t>
        </is>
      </c>
      <c r="C1760" t="inlineStr">
        <is>
          <t>Île-de-France</t>
        </is>
      </c>
      <c r="D1760" t="inlineStr">
        <is>
          <t>auto</t>
        </is>
      </c>
      <c r="E1760" t="inlineStr">
        <is>
          <t>LLD</t>
        </is>
      </c>
      <c r="F1760" t="inlineStr">
        <is>
          <t>2025-05-04</t>
        </is>
      </c>
      <c r="G1760" s="4" t="n">
        <v>10252.63</v>
      </c>
      <c r="H1760" s="4">
        <f>MAX(0,G1760-SUMIFS('Paiements contrat'!$B:$B,'Paiements contrat'!$A:$A,A1760))</f>
        <v/>
      </c>
      <c r="I1760" s="4" t="n">
        <v>6148.469999999999</v>
      </c>
      <c r="J1760" t="inlineStr">
        <is>
          <t>actif</t>
        </is>
      </c>
    </row>
    <row r="1761">
      <c r="A1761" t="inlineStr">
        <is>
          <t>CTR-01797</t>
        </is>
      </c>
      <c r="B1761" t="inlineStr">
        <is>
          <t>CLI-00500</t>
        </is>
      </c>
      <c r="C1761" t="inlineStr">
        <is>
          <t>Île-de-France</t>
        </is>
      </c>
      <c r="D1761" t="inlineStr">
        <is>
          <t>auto</t>
        </is>
      </c>
      <c r="E1761" t="inlineStr">
        <is>
          <t>LLD</t>
        </is>
      </c>
      <c r="F1761" t="inlineStr">
        <is>
          <t>2025-08-17</t>
        </is>
      </c>
      <c r="G1761" s="4" t="n">
        <v>52306.48</v>
      </c>
      <c r="H1761" s="4">
        <f>MAX(0,G1761-SUMIFS('Paiements contrat'!$B:$B,'Paiements contrat'!$A:$A,A1761))</f>
        <v/>
      </c>
      <c r="I1761" s="4" t="n">
        <v>40590.89</v>
      </c>
      <c r="J1761" t="inlineStr">
        <is>
          <t>actif</t>
        </is>
      </c>
    </row>
    <row r="1762">
      <c r="A1762" t="inlineStr">
        <is>
          <t>CTR-01798</t>
        </is>
      </c>
      <c r="B1762" t="inlineStr">
        <is>
          <t>CLI-00538</t>
        </is>
      </c>
      <c r="C1762" t="inlineStr">
        <is>
          <t>Île-de-France</t>
        </is>
      </c>
      <c r="D1762" t="inlineStr">
        <is>
          <t>bateau</t>
        </is>
      </c>
      <c r="E1762" t="inlineStr">
        <is>
          <t>LOA</t>
        </is>
      </c>
      <c r="F1762" t="inlineStr">
        <is>
          <t>2025-03-09</t>
        </is>
      </c>
      <c r="G1762" s="4" t="n">
        <v>31656.27</v>
      </c>
      <c r="H1762" s="4">
        <f>MAX(0,G1762-SUMIFS('Paiements contrat'!$B:$B,'Paiements contrat'!$A:$A,A1762))</f>
        <v/>
      </c>
      <c r="I1762" s="4" t="n">
        <v>17459.59</v>
      </c>
      <c r="J1762" t="inlineStr">
        <is>
          <t>actif</t>
        </is>
      </c>
    </row>
    <row r="1763">
      <c r="A1763" t="inlineStr">
        <is>
          <t>CTR-01799</t>
        </is>
      </c>
      <c r="B1763" t="inlineStr">
        <is>
          <t>CLI-00908</t>
        </is>
      </c>
      <c r="C1763" t="inlineStr">
        <is>
          <t>Île-de-France</t>
        </is>
      </c>
      <c r="D1763" t="inlineStr">
        <is>
          <t>auto</t>
        </is>
      </c>
      <c r="E1763" t="inlineStr">
        <is>
          <t>LOA</t>
        </is>
      </c>
      <c r="F1763" t="inlineStr">
        <is>
          <t>2025-02-22</t>
        </is>
      </c>
      <c r="G1763" s="4" t="n">
        <v>27808.38</v>
      </c>
      <c r="H1763" s="4">
        <f>MAX(0,G1763-SUMIFS('Paiements contrat'!$B:$B,'Paiements contrat'!$A:$A,A1763))</f>
        <v/>
      </c>
      <c r="I1763" s="4" t="n">
        <v>19190.18</v>
      </c>
      <c r="J1763" t="inlineStr">
        <is>
          <t>actif</t>
        </is>
      </c>
    </row>
    <row r="1764">
      <c r="A1764" t="inlineStr">
        <is>
          <t>CTR-01800</t>
        </is>
      </c>
      <c r="B1764" t="inlineStr">
        <is>
          <t>CLI-00215</t>
        </is>
      </c>
      <c r="C1764" t="inlineStr">
        <is>
          <t>Île-de-France</t>
        </is>
      </c>
      <c r="D1764" t="inlineStr">
        <is>
          <t>materiel</t>
        </is>
      </c>
      <c r="E1764" t="inlineStr">
        <is>
          <t>crédit-bail</t>
        </is>
      </c>
      <c r="F1764" t="inlineStr">
        <is>
          <t>2024-11-13</t>
        </is>
      </c>
      <c r="G1764" s="4" t="n">
        <v>91845.60000000001</v>
      </c>
      <c r="H1764" s="4">
        <f>MAX(0,G1764-SUMIFS('Paiements contrat'!$B:$B,'Paiements contrat'!$A:$A,A1764))</f>
        <v/>
      </c>
      <c r="I1764" s="4" t="n">
        <v>60123.83</v>
      </c>
      <c r="J1764" t="inlineStr">
        <is>
          <t>actif</t>
        </is>
      </c>
    </row>
    <row r="1765">
      <c r="A1765" t="inlineStr">
        <is>
          <t>CTR-01801</t>
        </is>
      </c>
      <c r="B1765" t="inlineStr">
        <is>
          <t>CLI-00672</t>
        </is>
      </c>
      <c r="C1765" t="inlineStr">
        <is>
          <t>Île-de-France</t>
        </is>
      </c>
      <c r="D1765" t="inlineStr">
        <is>
          <t>bateau</t>
        </is>
      </c>
      <c r="E1765" t="inlineStr">
        <is>
          <t>LOA</t>
        </is>
      </c>
      <c r="F1765" t="inlineStr">
        <is>
          <t>2025-01-26</t>
        </is>
      </c>
      <c r="G1765" s="4" t="n">
        <v>36116.67</v>
      </c>
      <c r="H1765" s="4">
        <f>MAX(0,G1765-SUMIFS('Paiements contrat'!$B:$B,'Paiements contrat'!$A:$A,A1765))</f>
        <v/>
      </c>
      <c r="I1765" s="4" t="n">
        <v>0</v>
      </c>
      <c r="J1765" t="inlineStr">
        <is>
          <t>soldé</t>
        </is>
      </c>
    </row>
    <row r="1766">
      <c r="A1766" t="inlineStr">
        <is>
          <t>CTR-01802</t>
        </is>
      </c>
      <c r="B1766" t="inlineStr">
        <is>
          <t>CLI-01156</t>
        </is>
      </c>
      <c r="C1766" t="inlineStr">
        <is>
          <t>Île-de-France</t>
        </is>
      </c>
      <c r="D1766" t="inlineStr">
        <is>
          <t>auto</t>
        </is>
      </c>
      <c r="E1766" t="inlineStr">
        <is>
          <t>LOA</t>
        </is>
      </c>
      <c r="F1766" t="inlineStr">
        <is>
          <t>2024-06-23</t>
        </is>
      </c>
      <c r="G1766" s="4" t="n">
        <v>58848.15</v>
      </c>
      <c r="H1766" s="4">
        <f>MAX(0,G1766-SUMIFS('Paiements contrat'!$B:$B,'Paiements contrat'!$A:$A,A1766))</f>
        <v/>
      </c>
      <c r="I1766" s="4" t="n">
        <v>7774.240000000005</v>
      </c>
      <c r="J1766" t="inlineStr">
        <is>
          <t>actif</t>
        </is>
      </c>
    </row>
    <row r="1767">
      <c r="A1767" t="inlineStr">
        <is>
          <t>CTR-01803</t>
        </is>
      </c>
      <c r="B1767" t="inlineStr">
        <is>
          <t>CLI-01410</t>
        </is>
      </c>
      <c r="C1767" t="inlineStr">
        <is>
          <t>Île-de-France</t>
        </is>
      </c>
      <c r="D1767" t="inlineStr">
        <is>
          <t>materiel</t>
        </is>
      </c>
      <c r="E1767" t="inlineStr">
        <is>
          <t>crédit-bail</t>
        </is>
      </c>
      <c r="F1767" t="inlineStr">
        <is>
          <t>2025-01-17</t>
        </is>
      </c>
      <c r="G1767" s="4" t="n">
        <v>67208.98</v>
      </c>
      <c r="H1767" s="4">
        <f>MAX(0,G1767-SUMIFS('Paiements contrat'!$B:$B,'Paiements contrat'!$A:$A,A1767))</f>
        <v/>
      </c>
      <c r="I1767" s="4" t="n">
        <v>50572.13</v>
      </c>
      <c r="J1767" t="inlineStr">
        <is>
          <t>actif</t>
        </is>
      </c>
    </row>
    <row r="1768">
      <c r="A1768" t="inlineStr">
        <is>
          <t>CTR-01804</t>
        </is>
      </c>
      <c r="B1768" t="inlineStr">
        <is>
          <t>CLI-00286</t>
        </is>
      </c>
      <c r="C1768" t="inlineStr">
        <is>
          <t>Île-de-France</t>
        </is>
      </c>
      <c r="D1768" t="inlineStr">
        <is>
          <t>auto</t>
        </is>
      </c>
      <c r="E1768" t="inlineStr">
        <is>
          <t>LLD</t>
        </is>
      </c>
      <c r="F1768" t="inlineStr">
        <is>
          <t>2025-09-15</t>
        </is>
      </c>
      <c r="G1768" s="4" t="n">
        <v>68338.97</v>
      </c>
      <c r="H1768" s="4">
        <f>MAX(0,G1768-SUMIFS('Paiements contrat'!$B:$B,'Paiements contrat'!$A:$A,A1768))</f>
        <v/>
      </c>
      <c r="I1768" s="4" t="n">
        <v>46035.94</v>
      </c>
      <c r="J1768" t="inlineStr">
        <is>
          <t>actif</t>
        </is>
      </c>
    </row>
    <row r="1769">
      <c r="A1769" t="inlineStr">
        <is>
          <t>CTR-01805</t>
        </is>
      </c>
      <c r="B1769" t="inlineStr">
        <is>
          <t>CLI-00080</t>
        </is>
      </c>
      <c r="C1769" t="inlineStr">
        <is>
          <t>Île-de-France</t>
        </is>
      </c>
      <c r="D1769" t="inlineStr">
        <is>
          <t>materiel</t>
        </is>
      </c>
      <c r="E1769" t="inlineStr">
        <is>
          <t>crédit-bail</t>
        </is>
      </c>
      <c r="F1769" t="inlineStr">
        <is>
          <t>2025-09-15</t>
        </is>
      </c>
      <c r="G1769" s="4" t="n">
        <v>172906.37</v>
      </c>
      <c r="H1769" s="4">
        <f>MAX(0,G1769-SUMIFS('Paiements contrat'!$B:$B,'Paiements contrat'!$A:$A,A1769))</f>
        <v/>
      </c>
      <c r="I1769" s="4" t="n">
        <v>132183.98</v>
      </c>
      <c r="J1769" t="inlineStr">
        <is>
          <t>contentieux</t>
        </is>
      </c>
    </row>
    <row r="1770">
      <c r="A1770" t="inlineStr">
        <is>
          <t>CTR-01807</t>
        </is>
      </c>
      <c r="B1770" t="inlineStr">
        <is>
          <t>CLI-00577</t>
        </is>
      </c>
      <c r="C1770" t="inlineStr">
        <is>
          <t>Île-de-France</t>
        </is>
      </c>
      <c r="D1770" t="inlineStr">
        <is>
          <t>auto</t>
        </is>
      </c>
      <c r="E1770" t="inlineStr">
        <is>
          <t>LOA</t>
        </is>
      </c>
      <c r="F1770" t="inlineStr">
        <is>
          <t>2025-12-12</t>
        </is>
      </c>
      <c r="G1770" s="4" t="n">
        <v>55357.57</v>
      </c>
      <c r="H1770" s="4">
        <f>MAX(0,G1770-SUMIFS('Paiements contrat'!$B:$B,'Paiements contrat'!$A:$A,A1770))</f>
        <v/>
      </c>
      <c r="I1770" s="4" t="n">
        <v>53636.5</v>
      </c>
      <c r="J1770" t="inlineStr">
        <is>
          <t>actif</t>
        </is>
      </c>
    </row>
    <row r="1771">
      <c r="A1771" t="inlineStr">
        <is>
          <t>CTR-01808</t>
        </is>
      </c>
      <c r="B1771" t="inlineStr">
        <is>
          <t>CLI-00806</t>
        </is>
      </c>
      <c r="C1771" t="inlineStr">
        <is>
          <t>Île-de-France</t>
        </is>
      </c>
      <c r="D1771" t="inlineStr">
        <is>
          <t>auto</t>
        </is>
      </c>
      <c r="E1771" t="inlineStr">
        <is>
          <t>LLD</t>
        </is>
      </c>
      <c r="F1771" t="inlineStr">
        <is>
          <t>2024-04-22</t>
        </is>
      </c>
      <c r="G1771" s="4" t="n">
        <v>19752.52</v>
      </c>
      <c r="H1771" s="4">
        <f>MAX(0,G1771-SUMIFS('Paiements contrat'!$B:$B,'Paiements contrat'!$A:$A,A1771))</f>
        <v/>
      </c>
      <c r="I1771" s="4" t="n">
        <v>12997.27173071442</v>
      </c>
      <c r="J1771" t="inlineStr">
        <is>
          <t>actif</t>
        </is>
      </c>
    </row>
    <row r="1772">
      <c r="A1772" t="inlineStr">
        <is>
          <t>CTR-01809</t>
        </is>
      </c>
      <c r="B1772" t="inlineStr">
        <is>
          <t>CLI-01231</t>
        </is>
      </c>
      <c r="C1772" t="inlineStr">
        <is>
          <t>Île-de-France</t>
        </is>
      </c>
      <c r="D1772" t="inlineStr">
        <is>
          <t>materiel</t>
        </is>
      </c>
      <c r="E1772" t="inlineStr">
        <is>
          <t>crédit-bail</t>
        </is>
      </c>
      <c r="F1772" t="inlineStr">
        <is>
          <t>2026-03-21</t>
        </is>
      </c>
      <c r="G1772" s="4" t="n">
        <v>152011.14</v>
      </c>
      <c r="H1772" s="4">
        <f>MAX(0,G1772-SUMIFS('Paiements contrat'!$B:$B,'Paiements contrat'!$A:$A,A1772))</f>
        <v/>
      </c>
      <c r="I1772" s="4" t="n">
        <v>152011.14</v>
      </c>
      <c r="J1772" t="inlineStr">
        <is>
          <t>actif</t>
        </is>
      </c>
    </row>
    <row r="1773">
      <c r="A1773" t="inlineStr">
        <is>
          <t>CTR-01810</t>
        </is>
      </c>
      <c r="B1773" t="inlineStr">
        <is>
          <t>CLI-00911</t>
        </is>
      </c>
      <c r="C1773" t="inlineStr">
        <is>
          <t>Île-de-France</t>
        </is>
      </c>
      <c r="D1773" t="inlineStr">
        <is>
          <t>materiel</t>
        </is>
      </c>
      <c r="E1773" t="inlineStr">
        <is>
          <t>crédit-bail</t>
        </is>
      </c>
      <c r="F1773" t="inlineStr">
        <is>
          <t>2024-06-11</t>
        </is>
      </c>
      <c r="G1773" s="4" t="n">
        <v>24344.64</v>
      </c>
      <c r="H1773" s="4">
        <f>MAX(0,G1773-SUMIFS('Paiements contrat'!$B:$B,'Paiements contrat'!$A:$A,A1773))</f>
        <v/>
      </c>
      <c r="I1773" s="4" t="n">
        <v>17632.21</v>
      </c>
      <c r="J1773" t="inlineStr">
        <is>
          <t>actif</t>
        </is>
      </c>
    </row>
    <row r="1774">
      <c r="A1774" t="inlineStr">
        <is>
          <t>CTR-01811</t>
        </is>
      </c>
      <c r="B1774" t="inlineStr">
        <is>
          <t>CLI-01209</t>
        </is>
      </c>
      <c r="C1774" t="inlineStr">
        <is>
          <t>Île-de-France</t>
        </is>
      </c>
      <c r="D1774" t="inlineStr">
        <is>
          <t>materiel</t>
        </is>
      </c>
      <c r="E1774" t="inlineStr">
        <is>
          <t>crédit-bail</t>
        </is>
      </c>
      <c r="F1774" t="inlineStr">
        <is>
          <t>2024-05-26</t>
        </is>
      </c>
      <c r="G1774" s="4" t="n">
        <v>140104.66</v>
      </c>
      <c r="H1774" s="4">
        <f>MAX(0,G1774-SUMIFS('Paiements contrat'!$B:$B,'Paiements contrat'!$A:$A,A1774))</f>
        <v/>
      </c>
      <c r="I1774" s="4" t="n">
        <v>29811.29000000001</v>
      </c>
      <c r="J1774" t="inlineStr">
        <is>
          <t>actif</t>
        </is>
      </c>
    </row>
    <row r="1775">
      <c r="A1775" t="inlineStr">
        <is>
          <t>CTR-01812</t>
        </is>
      </c>
      <c r="B1775" t="inlineStr">
        <is>
          <t>CLI-01044</t>
        </is>
      </c>
      <c r="C1775" t="inlineStr">
        <is>
          <t>Île-de-France</t>
        </is>
      </c>
      <c r="D1775" t="inlineStr">
        <is>
          <t>materiel</t>
        </is>
      </c>
      <c r="E1775" t="inlineStr">
        <is>
          <t>crédit-bail</t>
        </is>
      </c>
      <c r="F1775" t="inlineStr">
        <is>
          <t>2025-09-20</t>
        </is>
      </c>
      <c r="G1775" s="4" t="n">
        <v>26448.76</v>
      </c>
      <c r="H1775" s="4">
        <f>MAX(0,G1775-SUMIFS('Paiements contrat'!$B:$B,'Paiements contrat'!$A:$A,A1775))</f>
        <v/>
      </c>
      <c r="I1775" s="4" t="n">
        <v>23314.78</v>
      </c>
      <c r="J1775" t="inlineStr">
        <is>
          <t>actif</t>
        </is>
      </c>
    </row>
    <row r="1776">
      <c r="A1776" t="inlineStr">
        <is>
          <t>CTR-01813</t>
        </is>
      </c>
      <c r="B1776" t="inlineStr">
        <is>
          <t>CLI-01265</t>
        </is>
      </c>
      <c r="C1776" t="inlineStr">
        <is>
          <t>Île-de-France</t>
        </is>
      </c>
      <c r="D1776" t="inlineStr">
        <is>
          <t>materiel</t>
        </is>
      </c>
      <c r="E1776" t="inlineStr">
        <is>
          <t>crédit-bail</t>
        </is>
      </c>
      <c r="F1776" t="inlineStr">
        <is>
          <t>2026-01-26</t>
        </is>
      </c>
      <c r="G1776" s="4" t="n">
        <v>119687.58</v>
      </c>
      <c r="H1776" s="4">
        <f>MAX(0,G1776-SUMIFS('Paiements contrat'!$B:$B,'Paiements contrat'!$A:$A,A1776))</f>
        <v/>
      </c>
      <c r="I1776" s="4" t="n">
        <v>110448.03</v>
      </c>
      <c r="J1776" t="inlineStr">
        <is>
          <t>actif</t>
        </is>
      </c>
    </row>
    <row r="1777">
      <c r="A1777" t="inlineStr">
        <is>
          <t>CTR-01814</t>
        </is>
      </c>
      <c r="B1777" t="inlineStr">
        <is>
          <t>CLI-01449</t>
        </is>
      </c>
      <c r="C1777" t="inlineStr">
        <is>
          <t>Île-de-France</t>
        </is>
      </c>
      <c r="D1777" t="inlineStr">
        <is>
          <t>auto</t>
        </is>
      </c>
      <c r="E1777" t="inlineStr">
        <is>
          <t>LLD</t>
        </is>
      </c>
      <c r="F1777" t="inlineStr">
        <is>
          <t>2026-02-17</t>
        </is>
      </c>
      <c r="G1777" s="4" t="n">
        <v>53109.53</v>
      </c>
      <c r="H1777" s="4">
        <f>MAX(0,G1777-SUMIFS('Paiements contrat'!$B:$B,'Paiements contrat'!$A:$A,A1777))</f>
        <v/>
      </c>
      <c r="I1777" s="4" t="n">
        <v>51814.58</v>
      </c>
      <c r="J1777" t="inlineStr">
        <is>
          <t>actif</t>
        </is>
      </c>
    </row>
    <row r="1778">
      <c r="A1778" t="inlineStr">
        <is>
          <t>CTR-01815</t>
        </is>
      </c>
      <c r="B1778" t="inlineStr">
        <is>
          <t>CLI-00395</t>
        </is>
      </c>
      <c r="C1778" t="inlineStr">
        <is>
          <t>Île-de-France</t>
        </is>
      </c>
      <c r="D1778" t="inlineStr">
        <is>
          <t>auto</t>
        </is>
      </c>
      <c r="E1778" t="inlineStr">
        <is>
          <t>LOA</t>
        </is>
      </c>
      <c r="F1778" t="inlineStr">
        <is>
          <t>2026-02-27</t>
        </is>
      </c>
      <c r="G1778" s="4" t="n">
        <v>43363.49</v>
      </c>
      <c r="H1778" s="4">
        <f>MAX(0,G1778-SUMIFS('Paiements contrat'!$B:$B,'Paiements contrat'!$A:$A,A1778))</f>
        <v/>
      </c>
      <c r="I1778" s="4" t="n">
        <v>42585.57</v>
      </c>
      <c r="J1778" t="inlineStr">
        <is>
          <t>actif</t>
        </is>
      </c>
    </row>
    <row r="1779">
      <c r="A1779" t="inlineStr">
        <is>
          <t>CTR-01816</t>
        </is>
      </c>
      <c r="B1779" t="inlineStr">
        <is>
          <t>CLI-00844</t>
        </is>
      </c>
      <c r="C1779" t="inlineStr">
        <is>
          <t>Martinique</t>
        </is>
      </c>
      <c r="D1779" t="inlineStr">
        <is>
          <t>auto</t>
        </is>
      </c>
      <c r="E1779" t="inlineStr">
        <is>
          <t>LOA</t>
        </is>
      </c>
      <c r="F1779" t="inlineStr">
        <is>
          <t>2024-07-05</t>
        </is>
      </c>
      <c r="G1779" s="4" t="n">
        <v>45644</v>
      </c>
      <c r="H1779" s="4">
        <f>MAX(0,G1779-SUMIFS('Paiements contrat'!$B:$B,'Paiements contrat'!$A:$A,A1779))</f>
        <v/>
      </c>
      <c r="I1779" s="4" t="n">
        <v>7593.5</v>
      </c>
      <c r="J1779" t="inlineStr">
        <is>
          <t>soldé</t>
        </is>
      </c>
    </row>
    <row r="1780">
      <c r="A1780" t="inlineStr">
        <is>
          <t>CTR-01817</t>
        </is>
      </c>
      <c r="B1780" t="inlineStr">
        <is>
          <t>CLI-00282</t>
        </is>
      </c>
      <c r="C1780" t="inlineStr">
        <is>
          <t>Île-de-France</t>
        </is>
      </c>
      <c r="D1780" t="inlineStr">
        <is>
          <t>auto</t>
        </is>
      </c>
      <c r="E1780" t="inlineStr">
        <is>
          <t>LLD</t>
        </is>
      </c>
      <c r="F1780" t="inlineStr">
        <is>
          <t>2024-06-16</t>
        </is>
      </c>
      <c r="G1780" s="4" t="n">
        <v>56367</v>
      </c>
      <c r="H1780" s="4">
        <f>MAX(0,G1780-SUMIFS('Paiements contrat'!$B:$B,'Paiements contrat'!$A:$A,A1780))</f>
        <v/>
      </c>
      <c r="I1780" s="4" t="n">
        <v>23602.9</v>
      </c>
      <c r="J1780" t="inlineStr">
        <is>
          <t>actif</t>
        </is>
      </c>
    </row>
    <row r="1781">
      <c r="A1781" t="inlineStr">
        <is>
          <t>CTR-01818</t>
        </is>
      </c>
      <c r="B1781" t="inlineStr">
        <is>
          <t>CLI-00469</t>
        </is>
      </c>
      <c r="C1781" t="inlineStr">
        <is>
          <t>Île-de-France</t>
        </is>
      </c>
      <c r="D1781" t="inlineStr">
        <is>
          <t>auto</t>
        </is>
      </c>
      <c r="E1781" t="inlineStr">
        <is>
          <t>LOA</t>
        </is>
      </c>
      <c r="F1781" t="inlineStr">
        <is>
          <t>2024-09-26</t>
        </is>
      </c>
      <c r="G1781" s="4" t="n">
        <v>20961.76</v>
      </c>
      <c r="H1781" s="4">
        <f>MAX(0,G1781-SUMIFS('Paiements contrat'!$B:$B,'Paiements contrat'!$A:$A,A1781))</f>
        <v/>
      </c>
      <c r="I1781" s="4" t="n">
        <v>8800.819999999998</v>
      </c>
      <c r="J1781" t="inlineStr">
        <is>
          <t>actif</t>
        </is>
      </c>
    </row>
    <row r="1782">
      <c r="A1782" t="inlineStr">
        <is>
          <t>CTR-01819</t>
        </is>
      </c>
      <c r="B1782" t="inlineStr">
        <is>
          <t>CLI-01199</t>
        </is>
      </c>
      <c r="C1782" t="inlineStr">
        <is>
          <t>Île-de-France</t>
        </is>
      </c>
      <c r="D1782" t="inlineStr">
        <is>
          <t>auto</t>
        </is>
      </c>
      <c r="E1782" t="inlineStr">
        <is>
          <t>LOA</t>
        </is>
      </c>
      <c r="F1782" t="inlineStr">
        <is>
          <t>2025-05-22</t>
        </is>
      </c>
      <c r="G1782" s="4" t="n">
        <v>66946.97</v>
      </c>
      <c r="H1782" s="4">
        <f>MAX(0,G1782-SUMIFS('Paiements contrat'!$B:$B,'Paiements contrat'!$A:$A,A1782))</f>
        <v/>
      </c>
      <c r="I1782" s="4" t="n">
        <v>45600.47</v>
      </c>
      <c r="J1782" t="inlineStr">
        <is>
          <t>actif</t>
        </is>
      </c>
    </row>
    <row r="1783">
      <c r="A1783" t="inlineStr">
        <is>
          <t>CTR-01820</t>
        </is>
      </c>
      <c r="B1783" t="inlineStr">
        <is>
          <t>CLI-01278</t>
        </is>
      </c>
      <c r="C1783" t="inlineStr">
        <is>
          <t>Île-de-France</t>
        </is>
      </c>
      <c r="D1783" t="inlineStr">
        <is>
          <t>materiel</t>
        </is>
      </c>
      <c r="E1783" t="inlineStr">
        <is>
          <t>crédit-bail</t>
        </is>
      </c>
      <c r="F1783" t="inlineStr">
        <is>
          <t>2024-08-06</t>
        </is>
      </c>
      <c r="G1783" s="4" t="n">
        <v>40182.97</v>
      </c>
      <c r="H1783" s="4">
        <f>MAX(0,G1783-SUMIFS('Paiements contrat'!$B:$B,'Paiements contrat'!$A:$A,A1783))</f>
        <v/>
      </c>
      <c r="I1783" s="4" t="n">
        <v>4442.380000000005</v>
      </c>
      <c r="J1783" t="inlineStr">
        <is>
          <t>soldé</t>
        </is>
      </c>
    </row>
    <row r="1784">
      <c r="A1784" t="inlineStr">
        <is>
          <t>CTR-01821</t>
        </is>
      </c>
      <c r="B1784" t="inlineStr">
        <is>
          <t>CLI-00108</t>
        </is>
      </c>
      <c r="C1784" t="inlineStr">
        <is>
          <t>Île-de-France</t>
        </is>
      </c>
      <c r="D1784" t="inlineStr">
        <is>
          <t>auto</t>
        </is>
      </c>
      <c r="E1784" t="inlineStr">
        <is>
          <t>LLD</t>
        </is>
      </c>
      <c r="F1784" t="inlineStr">
        <is>
          <t>2026-02-11</t>
        </is>
      </c>
      <c r="G1784" s="4" t="n">
        <v>68839.94</v>
      </c>
      <c r="H1784" s="4">
        <f>MAX(0,G1784-SUMIFS('Paiements contrat'!$B:$B,'Paiements contrat'!$A:$A,A1784))</f>
        <v/>
      </c>
      <c r="I1784" s="4" t="n">
        <v>66618.65000000001</v>
      </c>
      <c r="J1784" t="inlineStr">
        <is>
          <t>actif</t>
        </is>
      </c>
    </row>
    <row r="1785">
      <c r="A1785" t="inlineStr">
        <is>
          <t>CTR-01822</t>
        </is>
      </c>
      <c r="B1785" t="inlineStr">
        <is>
          <t>CLI-01382</t>
        </is>
      </c>
      <c r="C1785" t="inlineStr">
        <is>
          <t>Martinique</t>
        </is>
      </c>
      <c r="D1785" t="inlineStr">
        <is>
          <t>auto</t>
        </is>
      </c>
      <c r="E1785" t="inlineStr">
        <is>
          <t>LOA</t>
        </is>
      </c>
      <c r="F1785" t="inlineStr">
        <is>
          <t>2025-04-06</t>
        </is>
      </c>
      <c r="G1785" s="4" t="n">
        <v>44871.62</v>
      </c>
      <c r="H1785" s="4">
        <f>MAX(0,G1785-SUMIFS('Paiements contrat'!$B:$B,'Paiements contrat'!$A:$A,A1785))</f>
        <v/>
      </c>
      <c r="I1785" s="4" t="n">
        <v>34320.75</v>
      </c>
      <c r="J1785" t="inlineStr">
        <is>
          <t>actif</t>
        </is>
      </c>
    </row>
    <row r="1786">
      <c r="A1786" t="inlineStr">
        <is>
          <t>CTR-01823</t>
        </is>
      </c>
      <c r="B1786" t="inlineStr">
        <is>
          <t>CLI-00999</t>
        </is>
      </c>
      <c r="C1786" t="inlineStr">
        <is>
          <t>Réunion</t>
        </is>
      </c>
      <c r="D1786" t="inlineStr">
        <is>
          <t>auto</t>
        </is>
      </c>
      <c r="E1786" t="inlineStr">
        <is>
          <t>LLD</t>
        </is>
      </c>
      <c r="F1786" t="inlineStr">
        <is>
          <t>2025-03-17</t>
        </is>
      </c>
      <c r="G1786" s="4" t="n">
        <v>22479.32</v>
      </c>
      <c r="H1786" s="4">
        <f>MAX(0,G1786-SUMIFS('Paiements contrat'!$B:$B,'Paiements contrat'!$A:$A,A1786))</f>
        <v/>
      </c>
      <c r="I1786" s="4" t="n">
        <v>12501.79</v>
      </c>
      <c r="J1786" t="inlineStr">
        <is>
          <t>actif</t>
        </is>
      </c>
    </row>
    <row r="1787">
      <c r="A1787" t="inlineStr">
        <is>
          <t>CTR-01824</t>
        </is>
      </c>
      <c r="B1787" t="inlineStr">
        <is>
          <t>CLI-00001</t>
        </is>
      </c>
      <c r="C1787" t="inlineStr">
        <is>
          <t>Île-de-France</t>
        </is>
      </c>
      <c r="D1787" t="inlineStr">
        <is>
          <t>auto</t>
        </is>
      </c>
      <c r="E1787" t="inlineStr">
        <is>
          <t>LLD</t>
        </is>
      </c>
      <c r="F1787" t="inlineStr">
        <is>
          <t>2024-07-13</t>
        </is>
      </c>
      <c r="G1787" s="4" t="n">
        <v>27159.81</v>
      </c>
      <c r="H1787" s="4">
        <f>MAX(0,G1787-SUMIFS('Paiements contrat'!$B:$B,'Paiements contrat'!$A:$A,A1787))</f>
        <v/>
      </c>
      <c r="I1787" s="4" t="n">
        <v>12422.81</v>
      </c>
      <c r="J1787" t="inlineStr">
        <is>
          <t>actif</t>
        </is>
      </c>
    </row>
    <row r="1788">
      <c r="A1788" t="inlineStr">
        <is>
          <t>CTR-01825</t>
        </is>
      </c>
      <c r="B1788" t="inlineStr">
        <is>
          <t>CLI-01381</t>
        </is>
      </c>
      <c r="C1788" t="inlineStr">
        <is>
          <t>Réunion</t>
        </is>
      </c>
      <c r="D1788" t="inlineStr">
        <is>
          <t>auto</t>
        </is>
      </c>
      <c r="E1788" t="inlineStr">
        <is>
          <t>LOA</t>
        </is>
      </c>
      <c r="F1788" t="inlineStr">
        <is>
          <t>2025-10-07</t>
        </is>
      </c>
      <c r="G1788" s="4" t="n">
        <v>38131.62</v>
      </c>
      <c r="H1788" s="4">
        <f>MAX(0,G1788-SUMIFS('Paiements contrat'!$B:$B,'Paiements contrat'!$A:$A,A1788))</f>
        <v/>
      </c>
      <c r="I1788" s="4" t="n">
        <v>32062.97</v>
      </c>
      <c r="J1788" t="inlineStr">
        <is>
          <t>actif</t>
        </is>
      </c>
    </row>
    <row r="1789">
      <c r="A1789" t="inlineStr">
        <is>
          <t>CTR-01826</t>
        </is>
      </c>
      <c r="B1789" t="inlineStr">
        <is>
          <t>CLI-00614</t>
        </is>
      </c>
      <c r="C1789" t="inlineStr">
        <is>
          <t>Île-de-France</t>
        </is>
      </c>
      <c r="D1789" t="inlineStr">
        <is>
          <t>bateau</t>
        </is>
      </c>
      <c r="E1789" t="inlineStr">
        <is>
          <t>LOA</t>
        </is>
      </c>
      <c r="F1789" t="inlineStr">
        <is>
          <t>2025-06-10</t>
        </is>
      </c>
      <c r="G1789" s="4" t="n">
        <v>179736.97</v>
      </c>
      <c r="H1789" s="4">
        <f>MAX(0,G1789-SUMIFS('Paiements contrat'!$B:$B,'Paiements contrat'!$A:$A,A1789))</f>
        <v/>
      </c>
      <c r="I1789" s="4" t="n">
        <v>138704.79</v>
      </c>
      <c r="J1789" t="inlineStr">
        <is>
          <t>actif</t>
        </is>
      </c>
    </row>
    <row r="1790">
      <c r="A1790" t="inlineStr">
        <is>
          <t>CTR-01827</t>
        </is>
      </c>
      <c r="B1790" t="inlineStr">
        <is>
          <t>CLI-00354</t>
        </is>
      </c>
      <c r="C1790" t="inlineStr">
        <is>
          <t>Île-de-France</t>
        </is>
      </c>
      <c r="D1790" t="inlineStr">
        <is>
          <t>auto</t>
        </is>
      </c>
      <c r="E1790" t="inlineStr">
        <is>
          <t>LOA</t>
        </is>
      </c>
      <c r="F1790" t="inlineStr">
        <is>
          <t>2026-01-19</t>
        </is>
      </c>
      <c r="G1790" s="4" t="n">
        <v>15014.6</v>
      </c>
      <c r="H1790" s="4">
        <f>MAX(0,G1790-SUMIFS('Paiements contrat'!$B:$B,'Paiements contrat'!$A:$A,A1790))</f>
        <v/>
      </c>
      <c r="I1790" s="4" t="n">
        <v>14454.93</v>
      </c>
      <c r="J1790" t="inlineStr">
        <is>
          <t>actif</t>
        </is>
      </c>
    </row>
    <row r="1791">
      <c r="A1791" t="inlineStr">
        <is>
          <t>CTR-01828</t>
        </is>
      </c>
      <c r="B1791" t="inlineStr">
        <is>
          <t>CLI-01005</t>
        </is>
      </c>
      <c r="C1791" t="inlineStr">
        <is>
          <t>Martinique</t>
        </is>
      </c>
      <c r="D1791" t="inlineStr">
        <is>
          <t>auto</t>
        </is>
      </c>
      <c r="E1791" t="inlineStr">
        <is>
          <t>LOA</t>
        </is>
      </c>
      <c r="F1791" t="inlineStr">
        <is>
          <t>2025-07-04</t>
        </is>
      </c>
      <c r="G1791" s="4" t="n">
        <v>11772.99</v>
      </c>
      <c r="H1791" s="4">
        <f>MAX(0,G1791-SUMIFS('Paiements contrat'!$B:$B,'Paiements contrat'!$A:$A,A1791))</f>
        <v/>
      </c>
      <c r="I1791" s="4" t="n">
        <v>9706.23</v>
      </c>
      <c r="J1791" t="inlineStr">
        <is>
          <t>actif</t>
        </is>
      </c>
    </row>
    <row r="1792">
      <c r="A1792" t="inlineStr">
        <is>
          <t>CTR-01829</t>
        </is>
      </c>
      <c r="B1792" t="inlineStr">
        <is>
          <t>CLI-00355</t>
        </is>
      </c>
      <c r="C1792" t="inlineStr">
        <is>
          <t>Île-de-France</t>
        </is>
      </c>
      <c r="D1792" t="inlineStr">
        <is>
          <t>auto</t>
        </is>
      </c>
      <c r="E1792" t="inlineStr">
        <is>
          <t>LLD</t>
        </is>
      </c>
      <c r="F1792" t="inlineStr">
        <is>
          <t>2024-10-06</t>
        </is>
      </c>
      <c r="G1792" s="4" t="n">
        <v>22824.37</v>
      </c>
      <c r="H1792" s="4">
        <f>MAX(0,G1792-SUMIFS('Paiements contrat'!$B:$B,'Paiements contrat'!$A:$A,A1792))</f>
        <v/>
      </c>
      <c r="I1792" s="4" t="n">
        <v>13276.76</v>
      </c>
      <c r="J1792" t="inlineStr">
        <is>
          <t>actif</t>
        </is>
      </c>
    </row>
    <row r="1793">
      <c r="A1793" t="inlineStr">
        <is>
          <t>CTR-01830</t>
        </is>
      </c>
      <c r="B1793" t="inlineStr">
        <is>
          <t>CLI-01290</t>
        </is>
      </c>
      <c r="C1793" t="inlineStr">
        <is>
          <t>Île-de-France</t>
        </is>
      </c>
      <c r="D1793" t="inlineStr">
        <is>
          <t>auto</t>
        </is>
      </c>
      <c r="E1793" t="inlineStr">
        <is>
          <t>LOA</t>
        </is>
      </c>
      <c r="F1793" t="inlineStr">
        <is>
          <t>2025-11-07</t>
        </is>
      </c>
      <c r="G1793" s="4" t="n">
        <v>66006.36</v>
      </c>
      <c r="H1793" s="4">
        <f>MAX(0,G1793-SUMIFS('Paiements contrat'!$B:$B,'Paiements contrat'!$A:$A,A1793))</f>
        <v/>
      </c>
      <c r="I1793" s="4" t="n">
        <v>60902.61</v>
      </c>
      <c r="J1793" t="inlineStr">
        <is>
          <t>actif</t>
        </is>
      </c>
    </row>
    <row r="1794">
      <c r="A1794" t="inlineStr">
        <is>
          <t>CTR-01831</t>
        </is>
      </c>
      <c r="B1794" t="inlineStr">
        <is>
          <t>CLI-01154</t>
        </is>
      </c>
      <c r="C1794" t="inlineStr">
        <is>
          <t>Île-de-France</t>
        </is>
      </c>
      <c r="D1794" t="inlineStr">
        <is>
          <t>bateau</t>
        </is>
      </c>
      <c r="E1794" t="inlineStr">
        <is>
          <t>LOA</t>
        </is>
      </c>
      <c r="F1794" t="inlineStr">
        <is>
          <t>2025-07-16</t>
        </is>
      </c>
      <c r="G1794" s="4" t="n">
        <v>150186.14</v>
      </c>
      <c r="H1794" s="4">
        <f>MAX(0,G1794-SUMIFS('Paiements contrat'!$B:$B,'Paiements contrat'!$A:$A,A1794))</f>
        <v/>
      </c>
      <c r="I1794" s="4" t="n">
        <v>127475.9541308378</v>
      </c>
      <c r="J1794" t="inlineStr">
        <is>
          <t>actif</t>
        </is>
      </c>
    </row>
    <row r="1795">
      <c r="A1795" t="inlineStr">
        <is>
          <t>CTR-01832</t>
        </is>
      </c>
      <c r="B1795" t="inlineStr">
        <is>
          <t>CLI-01408</t>
        </is>
      </c>
      <c r="C1795" t="inlineStr">
        <is>
          <t>Île-de-France</t>
        </is>
      </c>
      <c r="D1795" t="inlineStr">
        <is>
          <t>auto</t>
        </is>
      </c>
      <c r="E1795" t="inlineStr">
        <is>
          <t>LLD</t>
        </is>
      </c>
      <c r="F1795" t="inlineStr">
        <is>
          <t>2024-04-06</t>
        </is>
      </c>
      <c r="G1795" s="4" t="n">
        <v>9974.889999999999</v>
      </c>
      <c r="H1795" s="4">
        <f>MAX(0,G1795-SUMIFS('Paiements contrat'!$B:$B,'Paiements contrat'!$A:$A,A1795))</f>
        <v/>
      </c>
      <c r="I1795" s="4" t="n">
        <v>2996.635633706325</v>
      </c>
      <c r="J1795" t="inlineStr">
        <is>
          <t>actif</t>
        </is>
      </c>
    </row>
    <row r="1796">
      <c r="A1796" t="inlineStr">
        <is>
          <t>CTR-01833</t>
        </is>
      </c>
      <c r="B1796" t="inlineStr">
        <is>
          <t>CLI-01357</t>
        </is>
      </c>
      <c r="C1796" t="inlineStr">
        <is>
          <t>Réunion</t>
        </is>
      </c>
      <c r="D1796" t="inlineStr">
        <is>
          <t>auto</t>
        </is>
      </c>
      <c r="E1796" t="inlineStr">
        <is>
          <t>LOA</t>
        </is>
      </c>
      <c r="F1796" t="inlineStr">
        <is>
          <t>2025-09-14</t>
        </is>
      </c>
      <c r="G1796" s="4" t="n">
        <v>57901.85</v>
      </c>
      <c r="H1796" s="4">
        <f>MAX(0,G1796-SUMIFS('Paiements contrat'!$B:$B,'Paiements contrat'!$A:$A,A1796))</f>
        <v/>
      </c>
      <c r="I1796" s="4" t="n">
        <v>50584.34</v>
      </c>
      <c r="J1796" t="inlineStr">
        <is>
          <t>actif</t>
        </is>
      </c>
    </row>
    <row r="1797">
      <c r="A1797" t="inlineStr">
        <is>
          <t>CTR-01834</t>
        </is>
      </c>
      <c r="B1797" t="inlineStr">
        <is>
          <t>CLI-01091</t>
        </is>
      </c>
      <c r="C1797" t="inlineStr">
        <is>
          <t>Île-de-France</t>
        </is>
      </c>
      <c r="D1797" t="inlineStr">
        <is>
          <t>auto</t>
        </is>
      </c>
      <c r="E1797" t="inlineStr">
        <is>
          <t>LLD</t>
        </is>
      </c>
      <c r="F1797" t="inlineStr">
        <is>
          <t>2024-10-08</t>
        </is>
      </c>
      <c r="G1797" s="4" t="n">
        <v>24087.01</v>
      </c>
      <c r="H1797" s="4">
        <f>MAX(0,G1797-SUMIFS('Paiements contrat'!$B:$B,'Paiements contrat'!$A:$A,A1797))</f>
        <v/>
      </c>
      <c r="I1797" s="4" t="n">
        <v>14560.8191115697</v>
      </c>
      <c r="J1797" t="inlineStr">
        <is>
          <t>contentieux</t>
        </is>
      </c>
    </row>
    <row r="1798">
      <c r="A1798" t="inlineStr">
        <is>
          <t>CTR-01835</t>
        </is>
      </c>
      <c r="B1798" t="inlineStr">
        <is>
          <t>CLI-01123</t>
        </is>
      </c>
      <c r="C1798" t="inlineStr">
        <is>
          <t>Île-de-France</t>
        </is>
      </c>
      <c r="D1798" t="inlineStr">
        <is>
          <t>auto</t>
        </is>
      </c>
      <c r="E1798" t="inlineStr">
        <is>
          <t>LOA</t>
        </is>
      </c>
      <c r="F1798" t="inlineStr">
        <is>
          <t>2024-12-14</t>
        </is>
      </c>
      <c r="G1798" s="4" t="n">
        <v>15438.82</v>
      </c>
      <c r="H1798" s="4">
        <f>MAX(0,G1798-SUMIFS('Paiements contrat'!$B:$B,'Paiements contrat'!$A:$A,A1798))</f>
        <v/>
      </c>
      <c r="I1798" s="4" t="n">
        <v>9349.439999999999</v>
      </c>
      <c r="J1798" t="inlineStr">
        <is>
          <t>actif</t>
        </is>
      </c>
    </row>
    <row r="1799">
      <c r="A1799" t="inlineStr">
        <is>
          <t>CTR-01836</t>
        </is>
      </c>
      <c r="B1799" t="inlineStr">
        <is>
          <t>CLI-00190</t>
        </is>
      </c>
      <c r="C1799" t="inlineStr">
        <is>
          <t>Île-de-France</t>
        </is>
      </c>
      <c r="D1799" t="inlineStr">
        <is>
          <t>materiel</t>
        </is>
      </c>
      <c r="E1799" t="inlineStr">
        <is>
          <t>crédit-bail</t>
        </is>
      </c>
      <c r="F1799" t="inlineStr">
        <is>
          <t>2025-06-23</t>
        </is>
      </c>
      <c r="G1799" s="4" t="n">
        <v>189426.7</v>
      </c>
      <c r="H1799" s="4">
        <f>MAX(0,G1799-SUMIFS('Paiements contrat'!$B:$B,'Paiements contrat'!$A:$A,A1799))</f>
        <v/>
      </c>
      <c r="I1799" s="4" t="n">
        <v>163428.59</v>
      </c>
      <c r="J1799" t="inlineStr">
        <is>
          <t>actif</t>
        </is>
      </c>
    </row>
    <row r="1800">
      <c r="A1800" t="inlineStr">
        <is>
          <t>CTR-01837</t>
        </is>
      </c>
      <c r="B1800" t="inlineStr">
        <is>
          <t>CLI-01355</t>
        </is>
      </c>
      <c r="C1800" t="inlineStr">
        <is>
          <t>Martinique</t>
        </is>
      </c>
      <c r="D1800" t="inlineStr">
        <is>
          <t>auto</t>
        </is>
      </c>
      <c r="E1800" t="inlineStr">
        <is>
          <t>LLD</t>
        </is>
      </c>
      <c r="F1800" t="inlineStr">
        <is>
          <t>2025-02-14</t>
        </is>
      </c>
      <c r="G1800" s="4" t="n">
        <v>30614.83</v>
      </c>
      <c r="H1800" s="4">
        <f>MAX(0,G1800-SUMIFS('Paiements contrat'!$B:$B,'Paiements contrat'!$A:$A,A1800))</f>
        <v/>
      </c>
      <c r="I1800" s="4" t="n">
        <v>21058.51</v>
      </c>
      <c r="J1800" t="inlineStr">
        <is>
          <t>actif</t>
        </is>
      </c>
    </row>
    <row r="1801">
      <c r="A1801" t="inlineStr">
        <is>
          <t>CTR-01838</t>
        </is>
      </c>
      <c r="B1801" t="inlineStr">
        <is>
          <t>CLI-00252</t>
        </is>
      </c>
      <c r="C1801" t="inlineStr">
        <is>
          <t>Guyane</t>
        </is>
      </c>
      <c r="D1801" t="inlineStr">
        <is>
          <t>auto</t>
        </is>
      </c>
      <c r="E1801" t="inlineStr">
        <is>
          <t>LOA</t>
        </is>
      </c>
      <c r="F1801" t="inlineStr">
        <is>
          <t>2024-06-06</t>
        </is>
      </c>
      <c r="G1801" s="4" t="n">
        <v>59352.51</v>
      </c>
      <c r="H1801" s="4">
        <f>MAX(0,G1801-SUMIFS('Paiements contrat'!$B:$B,'Paiements contrat'!$A:$A,A1801))</f>
        <v/>
      </c>
      <c r="I1801" s="4" t="n">
        <v>17656.96</v>
      </c>
      <c r="J1801" t="inlineStr">
        <is>
          <t>actif</t>
        </is>
      </c>
    </row>
    <row r="1802">
      <c r="A1802" t="inlineStr">
        <is>
          <t>CTR-01839</t>
        </is>
      </c>
      <c r="B1802" t="inlineStr">
        <is>
          <t>CLI-00499</t>
        </is>
      </c>
      <c r="C1802" t="inlineStr">
        <is>
          <t>Île-de-France</t>
        </is>
      </c>
      <c r="D1802" t="inlineStr">
        <is>
          <t>auto</t>
        </is>
      </c>
      <c r="E1802" t="inlineStr">
        <is>
          <t>LOA</t>
        </is>
      </c>
      <c r="F1802" t="inlineStr">
        <is>
          <t>2025-09-19</t>
        </is>
      </c>
      <c r="G1802" s="4" t="n">
        <v>12560.72</v>
      </c>
      <c r="H1802" s="4">
        <f>MAX(0,G1802-SUMIFS('Paiements contrat'!$B:$B,'Paiements contrat'!$A:$A,A1802))</f>
        <v/>
      </c>
      <c r="I1802" s="4" t="n">
        <v>10637.76</v>
      </c>
      <c r="J1802" t="inlineStr">
        <is>
          <t>actif</t>
        </is>
      </c>
    </row>
    <row r="1803">
      <c r="A1803" t="inlineStr">
        <is>
          <t>CTR-01840</t>
        </is>
      </c>
      <c r="B1803" t="inlineStr">
        <is>
          <t>CLI-00690</t>
        </is>
      </c>
      <c r="C1803" t="inlineStr">
        <is>
          <t>Guadeloupe</t>
        </is>
      </c>
      <c r="D1803" t="inlineStr">
        <is>
          <t>auto</t>
        </is>
      </c>
      <c r="E1803" t="inlineStr">
        <is>
          <t>LLD</t>
        </is>
      </c>
      <c r="F1803" t="inlineStr">
        <is>
          <t>2025-07-11</t>
        </is>
      </c>
      <c r="G1803" s="4" t="n">
        <v>22522.02</v>
      </c>
      <c r="H1803" s="4">
        <f>MAX(0,G1803-SUMIFS('Paiements contrat'!$B:$B,'Paiements contrat'!$A:$A,A1803))</f>
        <v/>
      </c>
      <c r="I1803" s="4" t="n">
        <v>18528.82457239779</v>
      </c>
      <c r="J1803" t="inlineStr">
        <is>
          <t>actif</t>
        </is>
      </c>
    </row>
    <row r="1804">
      <c r="A1804" t="inlineStr">
        <is>
          <t>CTR-01841</t>
        </is>
      </c>
      <c r="B1804" t="inlineStr">
        <is>
          <t>CLI-00899</t>
        </is>
      </c>
      <c r="C1804" t="inlineStr">
        <is>
          <t>Île-de-France</t>
        </is>
      </c>
      <c r="D1804" t="inlineStr">
        <is>
          <t>bateau</t>
        </is>
      </c>
      <c r="E1804" t="inlineStr">
        <is>
          <t>LOA</t>
        </is>
      </c>
      <c r="F1804" t="inlineStr">
        <is>
          <t>2025-07-01</t>
        </is>
      </c>
      <c r="G1804" s="4" t="n">
        <v>187311.91</v>
      </c>
      <c r="H1804" s="4">
        <f>MAX(0,G1804-SUMIFS('Paiements contrat'!$B:$B,'Paiements contrat'!$A:$A,A1804))</f>
        <v/>
      </c>
      <c r="I1804" s="4" t="n">
        <v>148892.35</v>
      </c>
      <c r="J1804" t="inlineStr">
        <is>
          <t>actif</t>
        </is>
      </c>
    </row>
    <row r="1805">
      <c r="A1805" t="inlineStr">
        <is>
          <t>CTR-01842</t>
        </is>
      </c>
      <c r="B1805" t="inlineStr">
        <is>
          <t>CLI-01402</t>
        </is>
      </c>
      <c r="C1805" t="inlineStr">
        <is>
          <t>Réunion</t>
        </is>
      </c>
      <c r="D1805" t="inlineStr">
        <is>
          <t>auto</t>
        </is>
      </c>
      <c r="E1805" t="inlineStr">
        <is>
          <t>LLD</t>
        </is>
      </c>
      <c r="F1805" t="inlineStr">
        <is>
          <t>2025-08-16</t>
        </is>
      </c>
      <c r="G1805" s="4" t="n">
        <v>22540.81</v>
      </c>
      <c r="H1805" s="4">
        <f>MAX(0,G1805-SUMIFS('Paiements contrat'!$B:$B,'Paiements contrat'!$A:$A,A1805))</f>
        <v/>
      </c>
      <c r="I1805" s="4" t="n">
        <v>14087.58</v>
      </c>
      <c r="J1805" t="inlineStr">
        <is>
          <t>actif</t>
        </is>
      </c>
    </row>
    <row r="1806">
      <c r="A1806" t="inlineStr">
        <is>
          <t>CTR-01843</t>
        </is>
      </c>
      <c r="B1806" t="inlineStr">
        <is>
          <t>CLI-00854</t>
        </is>
      </c>
      <c r="C1806" t="inlineStr">
        <is>
          <t>Guyane</t>
        </is>
      </c>
      <c r="D1806" t="inlineStr">
        <is>
          <t>auto</t>
        </is>
      </c>
      <c r="E1806" t="inlineStr">
        <is>
          <t>LLD</t>
        </is>
      </c>
      <c r="F1806" t="inlineStr">
        <is>
          <t>2024-07-08</t>
        </is>
      </c>
      <c r="G1806" s="4" t="n">
        <v>15667</v>
      </c>
      <c r="H1806" s="4">
        <f>MAX(0,G1806-SUMIFS('Paiements contrat'!$B:$B,'Paiements contrat'!$A:$A,A1806))</f>
        <v/>
      </c>
      <c r="I1806" s="4" t="n">
        <v>4688.757549184209</v>
      </c>
      <c r="J1806" t="inlineStr">
        <is>
          <t>actif</t>
        </is>
      </c>
    </row>
    <row r="1807">
      <c r="A1807" t="inlineStr">
        <is>
          <t>CTR-01844</t>
        </is>
      </c>
      <c r="B1807" t="inlineStr">
        <is>
          <t>CLI-00073</t>
        </is>
      </c>
      <c r="C1807" t="inlineStr">
        <is>
          <t>Martinique</t>
        </is>
      </c>
      <c r="D1807" t="inlineStr">
        <is>
          <t>auto</t>
        </is>
      </c>
      <c r="E1807" t="inlineStr">
        <is>
          <t>LLD</t>
        </is>
      </c>
      <c r="F1807" t="inlineStr">
        <is>
          <t>2025-07-27</t>
        </is>
      </c>
      <c r="G1807" s="4" t="n">
        <v>69270.36</v>
      </c>
      <c r="H1807" s="4">
        <f>MAX(0,G1807-SUMIFS('Paiements contrat'!$B:$B,'Paiements contrat'!$A:$A,A1807))</f>
        <v/>
      </c>
      <c r="I1807" s="4" t="n">
        <v>59822.42</v>
      </c>
      <c r="J1807" t="inlineStr">
        <is>
          <t>actif</t>
        </is>
      </c>
    </row>
    <row r="1808">
      <c r="A1808" t="inlineStr">
        <is>
          <t>CTR-01845</t>
        </is>
      </c>
      <c r="B1808" t="inlineStr">
        <is>
          <t>CLI-00638</t>
        </is>
      </c>
      <c r="C1808" t="inlineStr">
        <is>
          <t>Île-de-France</t>
        </is>
      </c>
      <c r="D1808" t="inlineStr">
        <is>
          <t>bateau</t>
        </is>
      </c>
      <c r="E1808" t="inlineStr">
        <is>
          <t>LOA</t>
        </is>
      </c>
      <c r="F1808" t="inlineStr">
        <is>
          <t>2025-02-27</t>
        </is>
      </c>
      <c r="G1808" s="4" t="n">
        <v>114529.84</v>
      </c>
      <c r="H1808" s="4">
        <f>MAX(0,G1808-SUMIFS('Paiements contrat'!$B:$B,'Paiements contrat'!$A:$A,A1808))</f>
        <v/>
      </c>
      <c r="I1808" s="4" t="n">
        <v>96466.17107619933</v>
      </c>
      <c r="J1808" t="inlineStr">
        <is>
          <t>actif</t>
        </is>
      </c>
    </row>
    <row r="1809">
      <c r="A1809" t="inlineStr">
        <is>
          <t>CTR-01846</t>
        </is>
      </c>
      <c r="B1809" t="inlineStr">
        <is>
          <t>CLI-00460</t>
        </is>
      </c>
      <c r="C1809" t="inlineStr">
        <is>
          <t>Île-de-France</t>
        </is>
      </c>
      <c r="D1809" t="inlineStr">
        <is>
          <t>auto</t>
        </is>
      </c>
      <c r="E1809" t="inlineStr">
        <is>
          <t>LLD</t>
        </is>
      </c>
      <c r="F1809" t="inlineStr">
        <is>
          <t>2026-01-22</t>
        </is>
      </c>
      <c r="G1809" s="4" t="n">
        <v>70432.03</v>
      </c>
      <c r="H1809" s="4">
        <f>MAX(0,G1809-SUMIFS('Paiements contrat'!$B:$B,'Paiements contrat'!$A:$A,A1809))</f>
        <v/>
      </c>
      <c r="I1809" s="4" t="n">
        <v>62824.73</v>
      </c>
      <c r="J1809" t="inlineStr">
        <is>
          <t>actif</t>
        </is>
      </c>
    </row>
    <row r="1810">
      <c r="A1810" t="inlineStr">
        <is>
          <t>CTR-01847</t>
        </is>
      </c>
      <c r="B1810" t="inlineStr">
        <is>
          <t>CLI-01069</t>
        </is>
      </c>
      <c r="C1810" t="inlineStr">
        <is>
          <t>Île-de-France</t>
        </is>
      </c>
      <c r="D1810" t="inlineStr">
        <is>
          <t>materiel</t>
        </is>
      </c>
      <c r="E1810" t="inlineStr">
        <is>
          <t>crédit-bail</t>
        </is>
      </c>
      <c r="F1810" t="inlineStr">
        <is>
          <t>2024-12-01</t>
        </is>
      </c>
      <c r="G1810" s="4" t="n">
        <v>81837.57000000001</v>
      </c>
      <c r="H1810" s="4">
        <f>MAX(0,G1810-SUMIFS('Paiements contrat'!$B:$B,'Paiements contrat'!$A:$A,A1810))</f>
        <v/>
      </c>
      <c r="I1810" s="4" t="n">
        <v>64757.6925834876</v>
      </c>
      <c r="J1810" t="inlineStr">
        <is>
          <t>actif</t>
        </is>
      </c>
    </row>
    <row r="1811">
      <c r="A1811" t="inlineStr">
        <is>
          <t>CTR-01848</t>
        </is>
      </c>
      <c r="B1811" t="inlineStr">
        <is>
          <t>CLI-00588</t>
        </is>
      </c>
      <c r="C1811" t="inlineStr">
        <is>
          <t>Martinique</t>
        </is>
      </c>
      <c r="D1811" t="inlineStr">
        <is>
          <t>materiel</t>
        </is>
      </c>
      <c r="E1811" t="inlineStr">
        <is>
          <t>crédit-bail</t>
        </is>
      </c>
      <c r="F1811" t="inlineStr">
        <is>
          <t>2025-11-09</t>
        </is>
      </c>
      <c r="G1811" s="4" t="n">
        <v>187781.87</v>
      </c>
      <c r="H1811" s="4">
        <f>MAX(0,G1811-SUMIFS('Paiements contrat'!$B:$B,'Paiements contrat'!$A:$A,A1811))</f>
        <v/>
      </c>
      <c r="I1811" s="4" t="n">
        <v>169271.47</v>
      </c>
      <c r="J1811" t="inlineStr">
        <is>
          <t>actif</t>
        </is>
      </c>
    </row>
    <row r="1812">
      <c r="A1812" t="inlineStr">
        <is>
          <t>CTR-01849</t>
        </is>
      </c>
      <c r="B1812" t="inlineStr">
        <is>
          <t>CLI-01304</t>
        </is>
      </c>
      <c r="C1812" t="inlineStr">
        <is>
          <t>Réunion</t>
        </is>
      </c>
      <c r="D1812" t="inlineStr">
        <is>
          <t>auto</t>
        </is>
      </c>
      <c r="E1812" t="inlineStr">
        <is>
          <t>LOA</t>
        </is>
      </c>
      <c r="F1812" t="inlineStr">
        <is>
          <t>2024-08-20</t>
        </is>
      </c>
      <c r="G1812" s="4" t="n">
        <v>19034.27</v>
      </c>
      <c r="H1812" s="4">
        <f>MAX(0,G1812-SUMIFS('Paiements contrat'!$B:$B,'Paiements contrat'!$A:$A,A1812))</f>
        <v/>
      </c>
      <c r="I1812" s="4" t="n">
        <v>12923.58</v>
      </c>
      <c r="J1812" t="inlineStr">
        <is>
          <t>actif</t>
        </is>
      </c>
    </row>
    <row r="1813">
      <c r="A1813" t="inlineStr">
        <is>
          <t>CTR-01850</t>
        </is>
      </c>
      <c r="B1813" t="inlineStr">
        <is>
          <t>CLI-00950</t>
        </is>
      </c>
      <c r="C1813" t="inlineStr">
        <is>
          <t>Île-de-France</t>
        </is>
      </c>
      <c r="D1813" t="inlineStr">
        <is>
          <t>materiel</t>
        </is>
      </c>
      <c r="E1813" t="inlineStr">
        <is>
          <t>crédit-bail</t>
        </is>
      </c>
      <c r="F1813" t="inlineStr">
        <is>
          <t>2025-01-24</t>
        </is>
      </c>
      <c r="G1813" s="4" t="n">
        <v>142664.25</v>
      </c>
      <c r="H1813" s="4">
        <f>MAX(0,G1813-SUMIFS('Paiements contrat'!$B:$B,'Paiements contrat'!$A:$A,A1813))</f>
        <v/>
      </c>
      <c r="I1813" s="4" t="n">
        <v>96187.90426825394</v>
      </c>
      <c r="J1813" t="inlineStr">
        <is>
          <t>actif</t>
        </is>
      </c>
    </row>
    <row r="1814">
      <c r="A1814" t="inlineStr">
        <is>
          <t>CTR-01851</t>
        </is>
      </c>
      <c r="B1814" t="inlineStr">
        <is>
          <t>CLI-00366</t>
        </is>
      </c>
      <c r="C1814" t="inlineStr">
        <is>
          <t>Île-de-France</t>
        </is>
      </c>
      <c r="D1814" t="inlineStr">
        <is>
          <t>auto</t>
        </is>
      </c>
      <c r="E1814" t="inlineStr">
        <is>
          <t>LLD</t>
        </is>
      </c>
      <c r="F1814" t="inlineStr">
        <is>
          <t>2024-12-23</t>
        </is>
      </c>
      <c r="G1814" s="4" t="n">
        <v>61661.01</v>
      </c>
      <c r="H1814" s="4">
        <f>MAX(0,G1814-SUMIFS('Paiements contrat'!$B:$B,'Paiements contrat'!$A:$A,A1814))</f>
        <v/>
      </c>
      <c r="I1814" s="4" t="n">
        <v>46226.59</v>
      </c>
      <c r="J1814" t="inlineStr">
        <is>
          <t>actif</t>
        </is>
      </c>
    </row>
    <row r="1815">
      <c r="A1815" t="inlineStr">
        <is>
          <t>CTR-01852</t>
        </is>
      </c>
      <c r="B1815" t="inlineStr">
        <is>
          <t>CLI-00146</t>
        </is>
      </c>
      <c r="C1815" t="inlineStr">
        <is>
          <t>Martinique</t>
        </is>
      </c>
      <c r="D1815" t="inlineStr">
        <is>
          <t>materiel</t>
        </is>
      </c>
      <c r="E1815" t="inlineStr">
        <is>
          <t>crédit-bail</t>
        </is>
      </c>
      <c r="F1815" t="inlineStr">
        <is>
          <t>2024-04-27</t>
        </is>
      </c>
      <c r="G1815" s="4" t="n">
        <v>43974.83</v>
      </c>
      <c r="H1815" s="4">
        <f>MAX(0,G1815-SUMIFS('Paiements contrat'!$B:$B,'Paiements contrat'!$A:$A,A1815))</f>
        <v/>
      </c>
      <c r="I1815" s="4" t="n">
        <v>15295.99</v>
      </c>
      <c r="J1815" t="inlineStr">
        <is>
          <t>actif</t>
        </is>
      </c>
    </row>
    <row r="1816">
      <c r="A1816" t="inlineStr">
        <is>
          <t>CTR-01853</t>
        </is>
      </c>
      <c r="B1816" t="inlineStr">
        <is>
          <t>CLI-00470</t>
        </is>
      </c>
      <c r="C1816" t="inlineStr">
        <is>
          <t>Martinique</t>
        </is>
      </c>
      <c r="D1816" t="inlineStr">
        <is>
          <t>bateau</t>
        </is>
      </c>
      <c r="E1816" t="inlineStr">
        <is>
          <t>LOA</t>
        </is>
      </c>
      <c r="F1816" t="inlineStr">
        <is>
          <t>2025-05-18</t>
        </is>
      </c>
      <c r="G1816" s="4" t="n">
        <v>239064.72</v>
      </c>
      <c r="H1816" s="4">
        <f>MAX(0,G1816-SUMIFS('Paiements contrat'!$B:$B,'Paiements contrat'!$A:$A,A1816))</f>
        <v/>
      </c>
      <c r="I1816" s="4" t="n">
        <v>211861.03</v>
      </c>
      <c r="J1816" t="inlineStr">
        <is>
          <t>actif</t>
        </is>
      </c>
    </row>
    <row r="1817">
      <c r="A1817" t="inlineStr">
        <is>
          <t>CTR-01854</t>
        </is>
      </c>
      <c r="B1817" t="inlineStr">
        <is>
          <t>CLI-00178</t>
        </is>
      </c>
      <c r="C1817" t="inlineStr">
        <is>
          <t>Guyane</t>
        </is>
      </c>
      <c r="D1817" t="inlineStr">
        <is>
          <t>auto</t>
        </is>
      </c>
      <c r="E1817" t="inlineStr">
        <is>
          <t>LOA</t>
        </is>
      </c>
      <c r="F1817" t="inlineStr">
        <is>
          <t>2024-06-03</t>
        </is>
      </c>
      <c r="G1817" s="4" t="n">
        <v>80571.99000000001</v>
      </c>
      <c r="H1817" s="4">
        <f>MAX(0,G1817-SUMIFS('Paiements contrat'!$B:$B,'Paiements contrat'!$A:$A,A1817))</f>
        <v/>
      </c>
      <c r="I1817" s="4" t="n">
        <v>17493.84</v>
      </c>
      <c r="J1817" t="inlineStr">
        <is>
          <t>actif</t>
        </is>
      </c>
    </row>
    <row r="1818">
      <c r="A1818" t="inlineStr">
        <is>
          <t>CTR-01855</t>
        </is>
      </c>
      <c r="B1818" t="inlineStr">
        <is>
          <t>CLI-00932</t>
        </is>
      </c>
      <c r="C1818" t="inlineStr">
        <is>
          <t>Île-de-France</t>
        </is>
      </c>
      <c r="D1818" t="inlineStr">
        <is>
          <t>materiel</t>
        </is>
      </c>
      <c r="E1818" t="inlineStr">
        <is>
          <t>crédit-bail</t>
        </is>
      </c>
      <c r="F1818" t="inlineStr">
        <is>
          <t>2024-05-08</t>
        </is>
      </c>
      <c r="G1818" s="4" t="n">
        <v>45541.15</v>
      </c>
      <c r="H1818" s="4">
        <f>MAX(0,G1818-SUMIFS('Paiements contrat'!$B:$B,'Paiements contrat'!$A:$A,A1818))</f>
        <v/>
      </c>
      <c r="I1818" s="4" t="n">
        <v>23514.92</v>
      </c>
      <c r="J1818" t="inlineStr">
        <is>
          <t>actif</t>
        </is>
      </c>
    </row>
    <row r="1819">
      <c r="A1819" t="inlineStr">
        <is>
          <t>CTR-01856</t>
        </is>
      </c>
      <c r="B1819" t="inlineStr">
        <is>
          <t>CLI-01113</t>
        </is>
      </c>
      <c r="C1819" t="inlineStr">
        <is>
          <t>Réunion</t>
        </is>
      </c>
      <c r="D1819" t="inlineStr">
        <is>
          <t>materiel</t>
        </is>
      </c>
      <c r="E1819" t="inlineStr">
        <is>
          <t>crédit-bail</t>
        </is>
      </c>
      <c r="F1819" t="inlineStr">
        <is>
          <t>2026-01-25</t>
        </is>
      </c>
      <c r="G1819" s="4" t="n">
        <v>125133.1</v>
      </c>
      <c r="H1819" s="4">
        <f>MAX(0,G1819-SUMIFS('Paiements contrat'!$B:$B,'Paiements contrat'!$A:$A,A1819))</f>
        <v/>
      </c>
      <c r="I1819" s="4" t="n">
        <v>118621.42</v>
      </c>
      <c r="J1819" t="inlineStr">
        <is>
          <t>actif</t>
        </is>
      </c>
    </row>
    <row r="1820">
      <c r="A1820" t="inlineStr">
        <is>
          <t>CTR-01857</t>
        </is>
      </c>
      <c r="B1820" t="inlineStr">
        <is>
          <t>CLI-00941</t>
        </is>
      </c>
      <c r="C1820" t="inlineStr">
        <is>
          <t>Réunion</t>
        </is>
      </c>
      <c r="D1820" t="inlineStr">
        <is>
          <t>auto</t>
        </is>
      </c>
      <c r="E1820" t="inlineStr">
        <is>
          <t>LOA</t>
        </is>
      </c>
      <c r="F1820" t="inlineStr">
        <is>
          <t>2024-04-18</t>
        </is>
      </c>
      <c r="G1820" s="4" t="n">
        <v>33793.19</v>
      </c>
      <c r="H1820" s="4">
        <f>MAX(0,G1820-SUMIFS('Paiements contrat'!$B:$B,'Paiements contrat'!$A:$A,A1820))</f>
        <v/>
      </c>
      <c r="I1820" s="4" t="n">
        <v>18895.48</v>
      </c>
      <c r="J1820" t="inlineStr">
        <is>
          <t>actif</t>
        </is>
      </c>
    </row>
    <row r="1821">
      <c r="A1821" t="inlineStr">
        <is>
          <t>CTR-01858</t>
        </is>
      </c>
      <c r="B1821" t="inlineStr">
        <is>
          <t>CLI-01117</t>
        </is>
      </c>
      <c r="C1821" t="inlineStr">
        <is>
          <t>Martinique</t>
        </is>
      </c>
      <c r="D1821" t="inlineStr">
        <is>
          <t>auto</t>
        </is>
      </c>
      <c r="E1821" t="inlineStr">
        <is>
          <t>LOA</t>
        </is>
      </c>
      <c r="F1821" t="inlineStr">
        <is>
          <t>2025-04-14</t>
        </is>
      </c>
      <c r="G1821" s="4" t="n">
        <v>40331.36</v>
      </c>
      <c r="H1821" s="4">
        <f>MAX(0,G1821-SUMIFS('Paiements contrat'!$B:$B,'Paiements contrat'!$A:$A,A1821))</f>
        <v/>
      </c>
      <c r="I1821" s="4" t="n">
        <v>28712.41</v>
      </c>
      <c r="J1821" t="inlineStr">
        <is>
          <t>actif</t>
        </is>
      </c>
    </row>
    <row r="1822">
      <c r="A1822" t="inlineStr">
        <is>
          <t>CTR-01859</t>
        </is>
      </c>
      <c r="B1822" t="inlineStr">
        <is>
          <t>CLI-01499</t>
        </is>
      </c>
      <c r="C1822" t="inlineStr">
        <is>
          <t>Île-de-France</t>
        </is>
      </c>
      <c r="D1822" t="inlineStr">
        <is>
          <t>materiel</t>
        </is>
      </c>
      <c r="E1822" t="inlineStr">
        <is>
          <t>crédit-bail</t>
        </is>
      </c>
      <c r="F1822" t="inlineStr">
        <is>
          <t>2024-12-22</t>
        </is>
      </c>
      <c r="G1822" s="4" t="n">
        <v>37063.98</v>
      </c>
      <c r="H1822" s="4">
        <f>MAX(0,G1822-SUMIFS('Paiements contrat'!$B:$B,'Paiements contrat'!$A:$A,A1822))</f>
        <v/>
      </c>
      <c r="I1822" s="4" t="n">
        <v>23316.08</v>
      </c>
      <c r="J1822" t="inlineStr">
        <is>
          <t>actif</t>
        </is>
      </c>
    </row>
    <row r="1823">
      <c r="A1823" t="inlineStr">
        <is>
          <t>CTR-01860</t>
        </is>
      </c>
      <c r="B1823" t="inlineStr">
        <is>
          <t>CLI-01263</t>
        </is>
      </c>
      <c r="C1823" t="inlineStr">
        <is>
          <t>Île-de-France</t>
        </is>
      </c>
      <c r="D1823" t="inlineStr">
        <is>
          <t>materiel</t>
        </is>
      </c>
      <c r="E1823" t="inlineStr">
        <is>
          <t>crédit-bail</t>
        </is>
      </c>
      <c r="F1823" t="inlineStr">
        <is>
          <t>2025-09-10</t>
        </is>
      </c>
      <c r="G1823" s="4" t="n">
        <v>55377.96</v>
      </c>
      <c r="H1823" s="4">
        <f>MAX(0,G1823-SUMIFS('Paiements contrat'!$B:$B,'Paiements contrat'!$A:$A,A1823))</f>
        <v/>
      </c>
      <c r="I1823" s="4" t="n">
        <v>28170.77</v>
      </c>
      <c r="J1823" t="inlineStr">
        <is>
          <t>actif</t>
        </is>
      </c>
    </row>
    <row r="1824">
      <c r="A1824" t="inlineStr">
        <is>
          <t>CTR-01861</t>
        </is>
      </c>
      <c r="B1824" t="inlineStr">
        <is>
          <t>CLI-00307</t>
        </is>
      </c>
      <c r="C1824" t="inlineStr">
        <is>
          <t>Guadeloupe</t>
        </is>
      </c>
      <c r="D1824" t="inlineStr">
        <is>
          <t>auto</t>
        </is>
      </c>
      <c r="E1824" t="inlineStr">
        <is>
          <t>LOA</t>
        </is>
      </c>
      <c r="F1824" t="inlineStr">
        <is>
          <t>2024-08-06</t>
        </is>
      </c>
      <c r="G1824" s="4" t="n">
        <v>24107.33</v>
      </c>
      <c r="H1824" s="4">
        <f>MAX(0,G1824-SUMIFS('Paiements contrat'!$B:$B,'Paiements contrat'!$A:$A,A1824))</f>
        <v/>
      </c>
      <c r="I1824" s="4" t="n">
        <v>12489.43</v>
      </c>
      <c r="J1824" t="inlineStr">
        <is>
          <t>actif</t>
        </is>
      </c>
    </row>
    <row r="1825">
      <c r="A1825" t="inlineStr">
        <is>
          <t>CTR-01862</t>
        </is>
      </c>
      <c r="B1825" t="inlineStr">
        <is>
          <t>CLI-01077</t>
        </is>
      </c>
      <c r="C1825" t="inlineStr">
        <is>
          <t>Île-de-France</t>
        </is>
      </c>
      <c r="D1825" t="inlineStr">
        <is>
          <t>auto</t>
        </is>
      </c>
      <c r="E1825" t="inlineStr">
        <is>
          <t>LOA</t>
        </is>
      </c>
      <c r="F1825" t="inlineStr">
        <is>
          <t>2024-05-16</t>
        </is>
      </c>
      <c r="G1825" s="4" t="n">
        <v>58493.07</v>
      </c>
      <c r="H1825" s="4">
        <f>MAX(0,G1825-SUMIFS('Paiements contrat'!$B:$B,'Paiements contrat'!$A:$A,A1825))</f>
        <v/>
      </c>
      <c r="I1825" s="4" t="n">
        <v>28979.96</v>
      </c>
      <c r="J1825" t="inlineStr">
        <is>
          <t>actif</t>
        </is>
      </c>
    </row>
    <row r="1826">
      <c r="A1826" t="inlineStr">
        <is>
          <t>CTR-01863</t>
        </is>
      </c>
      <c r="B1826" t="inlineStr">
        <is>
          <t>CLI-00002</t>
        </is>
      </c>
      <c r="C1826" t="inlineStr">
        <is>
          <t>Réunion</t>
        </is>
      </c>
      <c r="D1826" t="inlineStr">
        <is>
          <t>auto</t>
        </is>
      </c>
      <c r="E1826" t="inlineStr">
        <is>
          <t>LLD</t>
        </is>
      </c>
      <c r="F1826" t="inlineStr">
        <is>
          <t>2025-09-22</t>
        </is>
      </c>
      <c r="G1826" s="4" t="n">
        <v>50227.38</v>
      </c>
      <c r="H1826" s="4">
        <f>MAX(0,G1826-SUMIFS('Paiements contrat'!$B:$B,'Paiements contrat'!$A:$A,A1826))</f>
        <v/>
      </c>
      <c r="I1826" s="4" t="n">
        <v>40156.78</v>
      </c>
      <c r="J1826" t="inlineStr">
        <is>
          <t>actif</t>
        </is>
      </c>
    </row>
    <row r="1827">
      <c r="A1827" t="inlineStr">
        <is>
          <t>CTR-01864</t>
        </is>
      </c>
      <c r="B1827" t="inlineStr">
        <is>
          <t>CLI-01083</t>
        </is>
      </c>
      <c r="C1827" t="inlineStr">
        <is>
          <t>Île-de-France</t>
        </is>
      </c>
      <c r="D1827" t="inlineStr">
        <is>
          <t>materiel</t>
        </is>
      </c>
      <c r="E1827" t="inlineStr">
        <is>
          <t>crédit-bail</t>
        </is>
      </c>
      <c r="F1827" t="inlineStr">
        <is>
          <t>2025-05-02</t>
        </is>
      </c>
      <c r="G1827" s="4" t="n">
        <v>123707.9</v>
      </c>
      <c r="H1827" s="4">
        <f>MAX(0,G1827-SUMIFS('Paiements contrat'!$B:$B,'Paiements contrat'!$A:$A,A1827))</f>
        <v/>
      </c>
      <c r="I1827" s="4" t="n">
        <v>106630.44</v>
      </c>
      <c r="J1827" t="inlineStr">
        <is>
          <t>actif</t>
        </is>
      </c>
    </row>
    <row r="1828">
      <c r="A1828" t="inlineStr">
        <is>
          <t>CTR-01865</t>
        </is>
      </c>
      <c r="B1828" t="inlineStr">
        <is>
          <t>CLI-00612</t>
        </is>
      </c>
      <c r="C1828" t="inlineStr">
        <is>
          <t>Martinique</t>
        </is>
      </c>
      <c r="D1828" t="inlineStr">
        <is>
          <t>auto</t>
        </is>
      </c>
      <c r="E1828" t="inlineStr">
        <is>
          <t>LOA</t>
        </is>
      </c>
      <c r="F1828" t="inlineStr">
        <is>
          <t>2025-08-07</t>
        </is>
      </c>
      <c r="G1828" s="4" t="n">
        <v>19421.98</v>
      </c>
      <c r="H1828" s="4">
        <f>MAX(0,G1828-SUMIFS('Paiements contrat'!$B:$B,'Paiements contrat'!$A:$A,A1828))</f>
        <v/>
      </c>
      <c r="I1828" s="4" t="n">
        <v>8238.189999999999</v>
      </c>
      <c r="J1828" t="inlineStr">
        <is>
          <t>actif</t>
        </is>
      </c>
    </row>
    <row r="1829">
      <c r="A1829" t="inlineStr">
        <is>
          <t>CTR-01866</t>
        </is>
      </c>
      <c r="B1829" t="inlineStr">
        <is>
          <t>CLI-01263</t>
        </is>
      </c>
      <c r="C1829" t="inlineStr">
        <is>
          <t>Île-de-France</t>
        </is>
      </c>
      <c r="D1829" t="inlineStr">
        <is>
          <t>materiel</t>
        </is>
      </c>
      <c r="E1829" t="inlineStr">
        <is>
          <t>crédit-bail</t>
        </is>
      </c>
      <c r="F1829" t="inlineStr">
        <is>
          <t>2024-06-15</t>
        </is>
      </c>
      <c r="G1829" s="4" t="n">
        <v>198444.41</v>
      </c>
      <c r="H1829" s="4">
        <f>MAX(0,G1829-SUMIFS('Paiements contrat'!$B:$B,'Paiements contrat'!$A:$A,A1829))</f>
        <v/>
      </c>
      <c r="I1829" s="4" t="n">
        <v>108270.05</v>
      </c>
      <c r="J1829" t="inlineStr">
        <is>
          <t>actif</t>
        </is>
      </c>
    </row>
    <row r="1830">
      <c r="A1830" t="inlineStr">
        <is>
          <t>CTR-01867</t>
        </is>
      </c>
      <c r="B1830" t="inlineStr">
        <is>
          <t>CLI-00406</t>
        </is>
      </c>
      <c r="C1830" t="inlineStr">
        <is>
          <t>Île-de-France</t>
        </is>
      </c>
      <c r="D1830" t="inlineStr">
        <is>
          <t>materiel</t>
        </is>
      </c>
      <c r="E1830" t="inlineStr">
        <is>
          <t>crédit-bail</t>
        </is>
      </c>
      <c r="F1830" t="inlineStr">
        <is>
          <t>2025-02-25</t>
        </is>
      </c>
      <c r="G1830" s="4" t="n">
        <v>140350.48</v>
      </c>
      <c r="H1830" s="4">
        <f>MAX(0,G1830-SUMIFS('Paiements contrat'!$B:$B,'Paiements contrat'!$A:$A,A1830))</f>
        <v/>
      </c>
      <c r="I1830" s="4" t="n">
        <v>91061.15000000001</v>
      </c>
      <c r="J1830" t="inlineStr">
        <is>
          <t>actif</t>
        </is>
      </c>
    </row>
    <row r="1831">
      <c r="A1831" t="inlineStr">
        <is>
          <t>CTR-01868</t>
        </is>
      </c>
      <c r="B1831" t="inlineStr">
        <is>
          <t>CLI-01302</t>
        </is>
      </c>
      <c r="C1831" t="inlineStr">
        <is>
          <t>Martinique</t>
        </is>
      </c>
      <c r="D1831" t="inlineStr">
        <is>
          <t>materiel</t>
        </is>
      </c>
      <c r="E1831" t="inlineStr">
        <is>
          <t>crédit-bail</t>
        </is>
      </c>
      <c r="F1831" t="inlineStr">
        <is>
          <t>2026-02-01</t>
        </is>
      </c>
      <c r="G1831" s="4" t="n">
        <v>34287.79</v>
      </c>
      <c r="H1831" s="4">
        <f>MAX(0,G1831-SUMIFS('Paiements contrat'!$B:$B,'Paiements contrat'!$A:$A,A1831))</f>
        <v/>
      </c>
      <c r="I1831" s="4" t="n">
        <v>32958.03</v>
      </c>
      <c r="J1831" t="inlineStr">
        <is>
          <t>actif</t>
        </is>
      </c>
    </row>
    <row r="1832">
      <c r="A1832" t="inlineStr">
        <is>
          <t>CTR-01869</t>
        </is>
      </c>
      <c r="B1832" t="inlineStr">
        <is>
          <t>CLI-00278</t>
        </is>
      </c>
      <c r="C1832" t="inlineStr">
        <is>
          <t>Île-de-France</t>
        </is>
      </c>
      <c r="D1832" t="inlineStr">
        <is>
          <t>auto</t>
        </is>
      </c>
      <c r="E1832" t="inlineStr">
        <is>
          <t>LLD</t>
        </is>
      </c>
      <c r="F1832" t="inlineStr">
        <is>
          <t>2025-04-08</t>
        </is>
      </c>
      <c r="G1832" s="4" t="n">
        <v>10489.8</v>
      </c>
      <c r="H1832" s="4">
        <f>MAX(0,G1832-SUMIFS('Paiements contrat'!$B:$B,'Paiements contrat'!$A:$A,A1832))</f>
        <v/>
      </c>
      <c r="I1832" s="4" t="n">
        <v>4222.039999999999</v>
      </c>
      <c r="J1832" t="inlineStr">
        <is>
          <t>actif</t>
        </is>
      </c>
    </row>
    <row r="1833">
      <c r="A1833" t="inlineStr">
        <is>
          <t>CTR-01870</t>
        </is>
      </c>
      <c r="B1833" t="inlineStr">
        <is>
          <t>CLI-00387</t>
        </is>
      </c>
      <c r="C1833" t="inlineStr">
        <is>
          <t>Guyane</t>
        </is>
      </c>
      <c r="D1833" t="inlineStr">
        <is>
          <t>materiel</t>
        </is>
      </c>
      <c r="E1833" t="inlineStr">
        <is>
          <t>crédit-bail</t>
        </is>
      </c>
      <c r="F1833" t="inlineStr">
        <is>
          <t>2025-07-08</t>
        </is>
      </c>
      <c r="G1833" s="4" t="n">
        <v>149349.37</v>
      </c>
      <c r="H1833" s="4">
        <f>MAX(0,G1833-SUMIFS('Paiements contrat'!$B:$B,'Paiements contrat'!$A:$A,A1833))</f>
        <v/>
      </c>
      <c r="I1833" s="4" t="n">
        <v>100397.37</v>
      </c>
      <c r="J1833" t="inlineStr">
        <is>
          <t>actif</t>
        </is>
      </c>
    </row>
    <row r="1834">
      <c r="A1834" t="inlineStr">
        <is>
          <t>CTR-01871</t>
        </is>
      </c>
      <c r="B1834" t="inlineStr">
        <is>
          <t>CLI-01262</t>
        </is>
      </c>
      <c r="C1834" t="inlineStr">
        <is>
          <t>Île-de-France</t>
        </is>
      </c>
      <c r="D1834" t="inlineStr">
        <is>
          <t>auto</t>
        </is>
      </c>
      <c r="E1834" t="inlineStr">
        <is>
          <t>LLD</t>
        </is>
      </c>
      <c r="F1834" t="inlineStr">
        <is>
          <t>2024-11-16</t>
        </is>
      </c>
      <c r="G1834" s="4" t="n">
        <v>77632.72</v>
      </c>
      <c r="H1834" s="4">
        <f>MAX(0,G1834-SUMIFS('Paiements contrat'!$B:$B,'Paiements contrat'!$A:$A,A1834))</f>
        <v/>
      </c>
      <c r="I1834" s="4" t="n">
        <v>19976.89989858172</v>
      </c>
      <c r="J1834" t="inlineStr">
        <is>
          <t>actif</t>
        </is>
      </c>
    </row>
    <row r="1835">
      <c r="A1835" t="inlineStr">
        <is>
          <t>CTR-01872</t>
        </is>
      </c>
      <c r="B1835" t="inlineStr">
        <is>
          <t>CLI-01309</t>
        </is>
      </c>
      <c r="C1835" t="inlineStr">
        <is>
          <t>Guadeloupe</t>
        </is>
      </c>
      <c r="D1835" t="inlineStr">
        <is>
          <t>bateau</t>
        </is>
      </c>
      <c r="E1835" t="inlineStr">
        <is>
          <t>LOA</t>
        </is>
      </c>
      <c r="F1835" t="inlineStr">
        <is>
          <t>2025-07-01</t>
        </is>
      </c>
      <c r="G1835" s="4" t="n">
        <v>277785.08</v>
      </c>
      <c r="H1835" s="4">
        <f>MAX(0,G1835-SUMIFS('Paiements contrat'!$B:$B,'Paiements contrat'!$A:$A,A1835))</f>
        <v/>
      </c>
      <c r="I1835" s="4" t="n">
        <v>189769.38</v>
      </c>
      <c r="J1835" t="inlineStr">
        <is>
          <t>actif</t>
        </is>
      </c>
    </row>
    <row r="1836">
      <c r="A1836" t="inlineStr">
        <is>
          <t>CTR-01873</t>
        </is>
      </c>
      <c r="B1836" t="inlineStr">
        <is>
          <t>CLI-00282</t>
        </is>
      </c>
      <c r="C1836" t="inlineStr">
        <is>
          <t>Île-de-France</t>
        </is>
      </c>
      <c r="D1836" t="inlineStr">
        <is>
          <t>auto</t>
        </is>
      </c>
      <c r="E1836" t="inlineStr">
        <is>
          <t>LOA</t>
        </is>
      </c>
      <c r="F1836" t="inlineStr">
        <is>
          <t>2025-03-15</t>
        </is>
      </c>
      <c r="G1836" s="4" t="n">
        <v>36315.58</v>
      </c>
      <c r="H1836" s="4">
        <f>MAX(0,G1836-SUMIFS('Paiements contrat'!$B:$B,'Paiements contrat'!$A:$A,A1836))</f>
        <v/>
      </c>
      <c r="I1836" s="4" t="n">
        <v>28543.15</v>
      </c>
      <c r="J1836" t="inlineStr">
        <is>
          <t>actif</t>
        </is>
      </c>
    </row>
    <row r="1837">
      <c r="A1837" t="inlineStr">
        <is>
          <t>CTR-01874</t>
        </is>
      </c>
      <c r="B1837" t="inlineStr">
        <is>
          <t>CLI-00656</t>
        </is>
      </c>
      <c r="C1837" t="inlineStr">
        <is>
          <t>Île-de-France</t>
        </is>
      </c>
      <c r="D1837" t="inlineStr">
        <is>
          <t>auto</t>
        </is>
      </c>
      <c r="E1837" t="inlineStr">
        <is>
          <t>LOA</t>
        </is>
      </c>
      <c r="F1837" t="inlineStr">
        <is>
          <t>2025-06-15</t>
        </is>
      </c>
      <c r="G1837" s="4" t="n">
        <v>43005.82</v>
      </c>
      <c r="H1837" s="4">
        <f>MAX(0,G1837-SUMIFS('Paiements contrat'!$B:$B,'Paiements contrat'!$A:$A,A1837))</f>
        <v/>
      </c>
      <c r="I1837" s="4" t="n">
        <v>37338.21</v>
      </c>
      <c r="J1837" t="inlineStr">
        <is>
          <t>actif</t>
        </is>
      </c>
    </row>
    <row r="1838">
      <c r="A1838" t="inlineStr">
        <is>
          <t>CTR-01875</t>
        </is>
      </c>
      <c r="B1838" t="inlineStr">
        <is>
          <t>CLI-01495</t>
        </is>
      </c>
      <c r="C1838" t="inlineStr">
        <is>
          <t>Île-de-France</t>
        </is>
      </c>
      <c r="D1838" t="inlineStr">
        <is>
          <t>materiel</t>
        </is>
      </c>
      <c r="E1838" t="inlineStr">
        <is>
          <t>crédit-bail</t>
        </is>
      </c>
      <c r="F1838" t="inlineStr">
        <is>
          <t>2025-04-14</t>
        </is>
      </c>
      <c r="G1838" s="4" t="n">
        <v>35598.09</v>
      </c>
      <c r="H1838" s="4">
        <f>MAX(0,G1838-SUMIFS('Paiements contrat'!$B:$B,'Paiements contrat'!$A:$A,A1838))</f>
        <v/>
      </c>
      <c r="I1838" s="4" t="n">
        <v>14337.91</v>
      </c>
      <c r="J1838" t="inlineStr">
        <is>
          <t>actif</t>
        </is>
      </c>
    </row>
    <row r="1839">
      <c r="A1839" t="inlineStr">
        <is>
          <t>CTR-01876</t>
        </is>
      </c>
      <c r="B1839" t="inlineStr">
        <is>
          <t>CLI-00917</t>
        </is>
      </c>
      <c r="C1839" t="inlineStr">
        <is>
          <t>Île-de-France</t>
        </is>
      </c>
      <c r="D1839" t="inlineStr">
        <is>
          <t>auto</t>
        </is>
      </c>
      <c r="E1839" t="inlineStr">
        <is>
          <t>LOA</t>
        </is>
      </c>
      <c r="F1839" t="inlineStr">
        <is>
          <t>2025-04-12</t>
        </is>
      </c>
      <c r="G1839" s="4" t="n">
        <v>57545.66</v>
      </c>
      <c r="H1839" s="4">
        <f>MAX(0,G1839-SUMIFS('Paiements contrat'!$B:$B,'Paiements contrat'!$A:$A,A1839))</f>
        <v/>
      </c>
      <c r="I1839" s="4" t="n">
        <v>43613.51</v>
      </c>
      <c r="J1839" t="inlineStr">
        <is>
          <t>actif</t>
        </is>
      </c>
    </row>
    <row r="1840">
      <c r="A1840" t="inlineStr">
        <is>
          <t>CTR-01877</t>
        </is>
      </c>
      <c r="B1840" t="inlineStr">
        <is>
          <t>CLI-00831</t>
        </is>
      </c>
      <c r="C1840" t="inlineStr">
        <is>
          <t>Île-de-France</t>
        </is>
      </c>
      <c r="D1840" t="inlineStr">
        <is>
          <t>materiel</t>
        </is>
      </c>
      <c r="E1840" t="inlineStr">
        <is>
          <t>crédit-bail</t>
        </is>
      </c>
      <c r="F1840" t="inlineStr">
        <is>
          <t>2024-05-20</t>
        </is>
      </c>
      <c r="G1840" s="4" t="n">
        <v>121320.5</v>
      </c>
      <c r="H1840" s="4">
        <f>MAX(0,G1840-SUMIFS('Paiements contrat'!$B:$B,'Paiements contrat'!$A:$A,A1840))</f>
        <v/>
      </c>
      <c r="I1840" s="4" t="n">
        <v>51852.42220392668</v>
      </c>
      <c r="J1840" t="inlineStr">
        <is>
          <t>actif</t>
        </is>
      </c>
    </row>
    <row r="1841">
      <c r="A1841" t="inlineStr">
        <is>
          <t>CTR-01878</t>
        </is>
      </c>
      <c r="B1841" t="inlineStr">
        <is>
          <t>CLI-00449</t>
        </is>
      </c>
      <c r="C1841" t="inlineStr">
        <is>
          <t>Île-de-France</t>
        </is>
      </c>
      <c r="D1841" t="inlineStr">
        <is>
          <t>auto</t>
        </is>
      </c>
      <c r="E1841" t="inlineStr">
        <is>
          <t>LOA</t>
        </is>
      </c>
      <c r="F1841" t="inlineStr">
        <is>
          <t>2026-02-24</t>
        </is>
      </c>
      <c r="G1841" s="4" t="n">
        <v>46305.23</v>
      </c>
      <c r="H1841" s="4">
        <f>MAX(0,G1841-SUMIFS('Paiements contrat'!$B:$B,'Paiements contrat'!$A:$A,A1841))</f>
        <v/>
      </c>
      <c r="I1841" s="4" t="n">
        <v>44439.11</v>
      </c>
      <c r="J1841" t="inlineStr">
        <is>
          <t>actif</t>
        </is>
      </c>
    </row>
    <row r="1842">
      <c r="A1842" t="inlineStr">
        <is>
          <t>CTR-01879</t>
        </is>
      </c>
      <c r="B1842" t="inlineStr">
        <is>
          <t>CLI-00258</t>
        </is>
      </c>
      <c r="C1842" t="inlineStr">
        <is>
          <t>Île-de-France</t>
        </is>
      </c>
      <c r="D1842" t="inlineStr">
        <is>
          <t>materiel</t>
        </is>
      </c>
      <c r="E1842" t="inlineStr">
        <is>
          <t>crédit-bail</t>
        </is>
      </c>
      <c r="F1842" t="inlineStr">
        <is>
          <t>2024-12-18</t>
        </is>
      </c>
      <c r="G1842" s="4" t="n">
        <v>56078.68</v>
      </c>
      <c r="H1842" s="4">
        <f>MAX(0,G1842-SUMIFS('Paiements contrat'!$B:$B,'Paiements contrat'!$A:$A,A1842))</f>
        <v/>
      </c>
      <c r="I1842" s="4" t="n">
        <v>23785.28</v>
      </c>
      <c r="J1842" t="inlineStr">
        <is>
          <t>actif</t>
        </is>
      </c>
    </row>
    <row r="1843">
      <c r="A1843" t="inlineStr">
        <is>
          <t>CTR-01880</t>
        </is>
      </c>
      <c r="B1843" t="inlineStr">
        <is>
          <t>CLI-00472</t>
        </is>
      </c>
      <c r="C1843" t="inlineStr">
        <is>
          <t>Île-de-France</t>
        </is>
      </c>
      <c r="D1843" t="inlineStr">
        <is>
          <t>materiel</t>
        </is>
      </c>
      <c r="E1843" t="inlineStr">
        <is>
          <t>crédit-bail</t>
        </is>
      </c>
      <c r="F1843" t="inlineStr">
        <is>
          <t>2024-05-25</t>
        </is>
      </c>
      <c r="G1843" s="4" t="n">
        <v>58966.97</v>
      </c>
      <c r="H1843" s="4">
        <f>MAX(0,G1843-SUMIFS('Paiements contrat'!$B:$B,'Paiements contrat'!$A:$A,A1843))</f>
        <v/>
      </c>
      <c r="I1843" s="4" t="n">
        <v>7537.020000000004</v>
      </c>
      <c r="J1843" t="inlineStr">
        <is>
          <t>actif</t>
        </is>
      </c>
    </row>
    <row r="1844">
      <c r="A1844" t="inlineStr">
        <is>
          <t>CTR-01881</t>
        </is>
      </c>
      <c r="B1844" t="inlineStr">
        <is>
          <t>CLI-01342</t>
        </is>
      </c>
      <c r="C1844" t="inlineStr">
        <is>
          <t>Île-de-France</t>
        </is>
      </c>
      <c r="D1844" t="inlineStr">
        <is>
          <t>auto</t>
        </is>
      </c>
      <c r="E1844" t="inlineStr">
        <is>
          <t>LLD</t>
        </is>
      </c>
      <c r="F1844" t="inlineStr">
        <is>
          <t>2025-01-12</t>
        </is>
      </c>
      <c r="G1844" s="4" t="n">
        <v>17986.24</v>
      </c>
      <c r="H1844" s="4">
        <f>MAX(0,G1844-SUMIFS('Paiements contrat'!$B:$B,'Paiements contrat'!$A:$A,A1844))</f>
        <v/>
      </c>
      <c r="I1844" s="4" t="n">
        <v>10530.58</v>
      </c>
      <c r="J1844" t="inlineStr">
        <is>
          <t>actif</t>
        </is>
      </c>
    </row>
    <row r="1845">
      <c r="A1845" t="inlineStr">
        <is>
          <t>CTR-01882</t>
        </is>
      </c>
      <c r="B1845" t="inlineStr">
        <is>
          <t>CLI-00373</t>
        </is>
      </c>
      <c r="C1845" t="inlineStr">
        <is>
          <t>Martinique</t>
        </is>
      </c>
      <c r="D1845" t="inlineStr">
        <is>
          <t>auto</t>
        </is>
      </c>
      <c r="E1845" t="inlineStr">
        <is>
          <t>LOA</t>
        </is>
      </c>
      <c r="F1845" t="inlineStr">
        <is>
          <t>2024-10-08</t>
        </is>
      </c>
      <c r="G1845" s="4" t="n">
        <v>51092</v>
      </c>
      <c r="H1845" s="4">
        <f>MAX(0,G1845-SUMIFS('Paiements contrat'!$B:$B,'Paiements contrat'!$A:$A,A1845))</f>
        <v/>
      </c>
      <c r="I1845" s="4" t="n">
        <v>39894.07</v>
      </c>
      <c r="J1845" t="inlineStr">
        <is>
          <t>actif</t>
        </is>
      </c>
    </row>
    <row r="1846">
      <c r="A1846" t="inlineStr">
        <is>
          <t>CTR-01883</t>
        </is>
      </c>
      <c r="B1846" t="inlineStr">
        <is>
          <t>CLI-00202</t>
        </is>
      </c>
      <c r="C1846" t="inlineStr">
        <is>
          <t>Île-de-France</t>
        </is>
      </c>
      <c r="D1846" t="inlineStr">
        <is>
          <t>auto</t>
        </is>
      </c>
      <c r="E1846" t="inlineStr">
        <is>
          <t>LLD</t>
        </is>
      </c>
      <c r="F1846" t="inlineStr">
        <is>
          <t>2024-11-17</t>
        </is>
      </c>
      <c r="G1846" s="4" t="n">
        <v>24476.27</v>
      </c>
      <c r="H1846" s="4">
        <f>MAX(0,G1846-SUMIFS('Paiements contrat'!$B:$B,'Paiements contrat'!$A:$A,A1846))</f>
        <v/>
      </c>
      <c r="I1846" s="4" t="n">
        <v>9452.83</v>
      </c>
      <c r="J1846" t="inlineStr">
        <is>
          <t>actif</t>
        </is>
      </c>
    </row>
    <row r="1847">
      <c r="A1847" t="inlineStr">
        <is>
          <t>CTR-01884</t>
        </is>
      </c>
      <c r="B1847" t="inlineStr">
        <is>
          <t>CLI-01410</t>
        </is>
      </c>
      <c r="C1847" t="inlineStr">
        <is>
          <t>Île-de-France</t>
        </is>
      </c>
      <c r="D1847" t="inlineStr">
        <is>
          <t>auto</t>
        </is>
      </c>
      <c r="E1847" t="inlineStr">
        <is>
          <t>LLD</t>
        </is>
      </c>
      <c r="F1847" t="inlineStr">
        <is>
          <t>2025-04-21</t>
        </is>
      </c>
      <c r="G1847" s="4" t="n">
        <v>35229.22</v>
      </c>
      <c r="H1847" s="4">
        <f>MAX(0,G1847-SUMIFS('Paiements contrat'!$B:$B,'Paiements contrat'!$A:$A,A1847))</f>
        <v/>
      </c>
      <c r="I1847" s="4" t="n">
        <v>21232.65</v>
      </c>
      <c r="J1847" t="inlineStr">
        <is>
          <t>actif</t>
        </is>
      </c>
    </row>
    <row r="1848">
      <c r="A1848" t="inlineStr">
        <is>
          <t>CTR-01885</t>
        </is>
      </c>
      <c r="B1848" t="inlineStr">
        <is>
          <t>CLI-00821</t>
        </is>
      </c>
      <c r="C1848" t="inlineStr">
        <is>
          <t>Martinique</t>
        </is>
      </c>
      <c r="D1848" t="inlineStr">
        <is>
          <t>auto</t>
        </is>
      </c>
      <c r="E1848" t="inlineStr">
        <is>
          <t>LLD</t>
        </is>
      </c>
      <c r="F1848" t="inlineStr">
        <is>
          <t>2024-09-03</t>
        </is>
      </c>
      <c r="G1848" s="4" t="n">
        <v>31326.74</v>
      </c>
      <c r="H1848" s="4">
        <f>MAX(0,G1848-SUMIFS('Paiements contrat'!$B:$B,'Paiements contrat'!$A:$A,A1848))</f>
        <v/>
      </c>
      <c r="I1848" s="4" t="n">
        <v>2594.240000000002</v>
      </c>
      <c r="J1848" t="inlineStr">
        <is>
          <t>soldé</t>
        </is>
      </c>
    </row>
    <row r="1849">
      <c r="A1849" t="inlineStr">
        <is>
          <t>CTR-01886</t>
        </is>
      </c>
      <c r="B1849" t="inlineStr">
        <is>
          <t>CLI-00618</t>
        </is>
      </c>
      <c r="C1849" t="inlineStr">
        <is>
          <t>Île-de-France</t>
        </is>
      </c>
      <c r="D1849" t="inlineStr">
        <is>
          <t>auto</t>
        </is>
      </c>
      <c r="E1849" t="inlineStr">
        <is>
          <t>LOA</t>
        </is>
      </c>
      <c r="F1849" t="inlineStr">
        <is>
          <t>2025-09-06</t>
        </is>
      </c>
      <c r="G1849" s="4" t="n">
        <v>26964.72</v>
      </c>
      <c r="H1849" s="4">
        <f>MAX(0,G1849-SUMIFS('Paiements contrat'!$B:$B,'Paiements contrat'!$A:$A,A1849))</f>
        <v/>
      </c>
      <c r="I1849" s="4" t="n">
        <v>13611.81</v>
      </c>
      <c r="J1849" t="inlineStr">
        <is>
          <t>actif</t>
        </is>
      </c>
    </row>
    <row r="1850">
      <c r="A1850" t="inlineStr">
        <is>
          <t>CTR-01887</t>
        </is>
      </c>
      <c r="B1850" t="inlineStr">
        <is>
          <t>CLI-00365</t>
        </is>
      </c>
      <c r="C1850" t="inlineStr">
        <is>
          <t>Guyane</t>
        </is>
      </c>
      <c r="D1850" t="inlineStr">
        <is>
          <t>auto</t>
        </is>
      </c>
      <c r="E1850" t="inlineStr">
        <is>
          <t>LOA</t>
        </is>
      </c>
      <c r="F1850" t="inlineStr">
        <is>
          <t>2025-01-04</t>
        </is>
      </c>
      <c r="G1850" s="4" t="n">
        <v>35171.57</v>
      </c>
      <c r="H1850" s="4">
        <f>MAX(0,G1850-SUMIFS('Paiements contrat'!$B:$B,'Paiements contrat'!$A:$A,A1850))</f>
        <v/>
      </c>
      <c r="I1850" s="4" t="n">
        <v>17296.90052077211</v>
      </c>
      <c r="J1850" t="inlineStr">
        <is>
          <t>actif</t>
        </is>
      </c>
    </row>
    <row r="1851">
      <c r="A1851" t="inlineStr">
        <is>
          <t>CTR-01888</t>
        </is>
      </c>
      <c r="B1851" t="inlineStr">
        <is>
          <t>CLI-00162</t>
        </is>
      </c>
      <c r="C1851" t="inlineStr">
        <is>
          <t>Réunion</t>
        </is>
      </c>
      <c r="D1851" t="inlineStr">
        <is>
          <t>auto</t>
        </is>
      </c>
      <c r="E1851" t="inlineStr">
        <is>
          <t>LLD</t>
        </is>
      </c>
      <c r="F1851" t="inlineStr">
        <is>
          <t>2025-06-14</t>
        </is>
      </c>
      <c r="G1851" s="4" t="n">
        <v>9583.200000000001</v>
      </c>
      <c r="H1851" s="4">
        <f>MAX(0,G1851-SUMIFS('Paiements contrat'!$B:$B,'Paiements contrat'!$A:$A,A1851))</f>
        <v/>
      </c>
      <c r="I1851" s="4" t="n">
        <v>7235.370000000001</v>
      </c>
      <c r="J1851" t="inlineStr">
        <is>
          <t>actif</t>
        </is>
      </c>
    </row>
    <row r="1852">
      <c r="A1852" t="inlineStr">
        <is>
          <t>CTR-01889</t>
        </is>
      </c>
      <c r="B1852" t="inlineStr">
        <is>
          <t>CLI-01220</t>
        </is>
      </c>
      <c r="C1852" t="inlineStr">
        <is>
          <t>Île-de-France</t>
        </is>
      </c>
      <c r="D1852" t="inlineStr">
        <is>
          <t>auto</t>
        </is>
      </c>
      <c r="E1852" t="inlineStr">
        <is>
          <t>LLD</t>
        </is>
      </c>
      <c r="F1852" t="inlineStr">
        <is>
          <t>2025-07-09</t>
        </is>
      </c>
      <c r="G1852" s="4" t="n">
        <v>31802.16</v>
      </c>
      <c r="H1852" s="4">
        <f>MAX(0,G1852-SUMIFS('Paiements contrat'!$B:$B,'Paiements contrat'!$A:$A,A1852))</f>
        <v/>
      </c>
      <c r="I1852" s="4" t="n">
        <v>24991.44</v>
      </c>
      <c r="J1852" t="inlineStr">
        <is>
          <t>actif</t>
        </is>
      </c>
    </row>
    <row r="1853">
      <c r="A1853" t="inlineStr">
        <is>
          <t>CTR-01890</t>
        </is>
      </c>
      <c r="B1853" t="inlineStr">
        <is>
          <t>CLI-00313</t>
        </is>
      </c>
      <c r="C1853" t="inlineStr">
        <is>
          <t>Île-de-France</t>
        </is>
      </c>
      <c r="D1853" t="inlineStr">
        <is>
          <t>materiel</t>
        </is>
      </c>
      <c r="E1853" t="inlineStr">
        <is>
          <t>crédit-bail</t>
        </is>
      </c>
      <c r="F1853" t="inlineStr">
        <is>
          <t>2024-06-19</t>
        </is>
      </c>
      <c r="G1853" s="4" t="n">
        <v>153097.3</v>
      </c>
      <c r="H1853" s="4">
        <f>MAX(0,G1853-SUMIFS('Paiements contrat'!$B:$B,'Paiements contrat'!$A:$A,A1853))</f>
        <v/>
      </c>
      <c r="I1853" s="4" t="n">
        <v>75011.21999999999</v>
      </c>
      <c r="J1853" t="inlineStr">
        <is>
          <t>contentieux</t>
        </is>
      </c>
    </row>
    <row r="1854">
      <c r="A1854" t="inlineStr">
        <is>
          <t>CTR-01891</t>
        </is>
      </c>
      <c r="B1854" t="inlineStr">
        <is>
          <t>CLI-00776</t>
        </is>
      </c>
      <c r="C1854" t="inlineStr">
        <is>
          <t>Île-de-France</t>
        </is>
      </c>
      <c r="D1854" t="inlineStr">
        <is>
          <t>materiel</t>
        </is>
      </c>
      <c r="E1854" t="inlineStr">
        <is>
          <t>crédit-bail</t>
        </is>
      </c>
      <c r="F1854" t="inlineStr">
        <is>
          <t>2024-09-11</t>
        </is>
      </c>
      <c r="G1854" s="4" t="n">
        <v>135420.9</v>
      </c>
      <c r="H1854" s="4">
        <f>MAX(0,G1854-SUMIFS('Paiements contrat'!$B:$B,'Paiements contrat'!$A:$A,A1854))</f>
        <v/>
      </c>
      <c r="I1854" s="4" t="n">
        <v>76477.25320490189</v>
      </c>
      <c r="J1854" t="inlineStr">
        <is>
          <t>actif</t>
        </is>
      </c>
    </row>
    <row r="1855">
      <c r="A1855" t="inlineStr">
        <is>
          <t>CTR-01892</t>
        </is>
      </c>
      <c r="B1855" t="inlineStr">
        <is>
          <t>CLI-00911</t>
        </is>
      </c>
      <c r="C1855" t="inlineStr">
        <is>
          <t>Île-de-France</t>
        </is>
      </c>
      <c r="D1855" t="inlineStr">
        <is>
          <t>materiel</t>
        </is>
      </c>
      <c r="E1855" t="inlineStr">
        <is>
          <t>crédit-bail</t>
        </is>
      </c>
      <c r="F1855" t="inlineStr">
        <is>
          <t>2024-04-03</t>
        </is>
      </c>
      <c r="G1855" s="4" t="n">
        <v>73236.67</v>
      </c>
      <c r="H1855" s="4">
        <f>MAX(0,G1855-SUMIFS('Paiements contrat'!$B:$B,'Paiements contrat'!$A:$A,A1855))</f>
        <v/>
      </c>
      <c r="I1855" s="4" t="n">
        <v>41865.20211216607</v>
      </c>
      <c r="J1855" t="inlineStr">
        <is>
          <t>actif</t>
        </is>
      </c>
    </row>
    <row r="1856">
      <c r="A1856" t="inlineStr">
        <is>
          <t>CTR-01893</t>
        </is>
      </c>
      <c r="B1856" t="inlineStr">
        <is>
          <t>CLI-00858</t>
        </is>
      </c>
      <c r="C1856" t="inlineStr">
        <is>
          <t>Réunion</t>
        </is>
      </c>
      <c r="D1856" t="inlineStr">
        <is>
          <t>auto</t>
        </is>
      </c>
      <c r="E1856" t="inlineStr">
        <is>
          <t>LOA</t>
        </is>
      </c>
      <c r="F1856" t="inlineStr">
        <is>
          <t>2026-02-13</t>
        </is>
      </c>
      <c r="G1856" s="4" t="n">
        <v>48308.25</v>
      </c>
      <c r="H1856" s="4">
        <f>MAX(0,G1856-SUMIFS('Paiements contrat'!$B:$B,'Paiements contrat'!$A:$A,A1856))</f>
        <v/>
      </c>
      <c r="I1856" s="4" t="n">
        <v>47050.29</v>
      </c>
      <c r="J1856" t="inlineStr">
        <is>
          <t>actif</t>
        </is>
      </c>
    </row>
    <row r="1857">
      <c r="A1857" t="inlineStr">
        <is>
          <t>CTR-01894</t>
        </is>
      </c>
      <c r="B1857" t="inlineStr">
        <is>
          <t>CLI-00810</t>
        </is>
      </c>
      <c r="C1857" t="inlineStr">
        <is>
          <t>Île-de-France</t>
        </is>
      </c>
      <c r="D1857" t="inlineStr">
        <is>
          <t>materiel</t>
        </is>
      </c>
      <c r="E1857" t="inlineStr">
        <is>
          <t>crédit-bail</t>
        </is>
      </c>
      <c r="F1857" t="inlineStr">
        <is>
          <t>2025-07-15</t>
        </is>
      </c>
      <c r="G1857" s="4" t="n">
        <v>171115.79</v>
      </c>
      <c r="H1857" s="4">
        <f>MAX(0,G1857-SUMIFS('Paiements contrat'!$B:$B,'Paiements contrat'!$A:$A,A1857))</f>
        <v/>
      </c>
      <c r="I1857" s="4" t="n">
        <v>138816.45</v>
      </c>
      <c r="J1857" t="inlineStr">
        <is>
          <t>actif</t>
        </is>
      </c>
    </row>
    <row r="1858">
      <c r="A1858" t="inlineStr">
        <is>
          <t>CTR-01895</t>
        </is>
      </c>
      <c r="B1858" t="inlineStr">
        <is>
          <t>CLI-00818</t>
        </is>
      </c>
      <c r="C1858" t="inlineStr">
        <is>
          <t>Guadeloupe</t>
        </is>
      </c>
      <c r="D1858" t="inlineStr">
        <is>
          <t>auto</t>
        </is>
      </c>
      <c r="E1858" t="inlineStr">
        <is>
          <t>LOA</t>
        </is>
      </c>
      <c r="F1858" t="inlineStr">
        <is>
          <t>2025-10-04</t>
        </is>
      </c>
      <c r="G1858" s="4" t="n">
        <v>27229.48</v>
      </c>
      <c r="H1858" s="4">
        <f>MAX(0,G1858-SUMIFS('Paiements contrat'!$B:$B,'Paiements contrat'!$A:$A,A1858))</f>
        <v/>
      </c>
      <c r="I1858" s="4" t="n">
        <v>24570.25</v>
      </c>
      <c r="J1858" t="inlineStr">
        <is>
          <t>actif</t>
        </is>
      </c>
    </row>
    <row r="1859">
      <c r="A1859" t="inlineStr">
        <is>
          <t>CTR-01896</t>
        </is>
      </c>
      <c r="B1859" t="inlineStr">
        <is>
          <t>CLI-01145</t>
        </is>
      </c>
      <c r="C1859" t="inlineStr">
        <is>
          <t>Île-de-France</t>
        </is>
      </c>
      <c r="D1859" t="inlineStr">
        <is>
          <t>materiel</t>
        </is>
      </c>
      <c r="E1859" t="inlineStr">
        <is>
          <t>crédit-bail</t>
        </is>
      </c>
      <c r="F1859" t="inlineStr">
        <is>
          <t>2025-02-10</t>
        </is>
      </c>
      <c r="G1859" s="4" t="n">
        <v>142935.82</v>
      </c>
      <c r="H1859" s="4">
        <f>MAX(0,G1859-SUMIFS('Paiements contrat'!$B:$B,'Paiements contrat'!$A:$A,A1859))</f>
        <v/>
      </c>
      <c r="I1859" s="4" t="n">
        <v>101491.3490390758</v>
      </c>
      <c r="J1859" t="inlineStr">
        <is>
          <t>actif</t>
        </is>
      </c>
    </row>
    <row r="1860">
      <c r="A1860" t="inlineStr">
        <is>
          <t>CTR-01897</t>
        </is>
      </c>
      <c r="B1860" t="inlineStr">
        <is>
          <t>CLI-00803</t>
        </is>
      </c>
      <c r="C1860" t="inlineStr">
        <is>
          <t>Martinique</t>
        </is>
      </c>
      <c r="D1860" t="inlineStr">
        <is>
          <t>materiel</t>
        </is>
      </c>
      <c r="E1860" t="inlineStr">
        <is>
          <t>crédit-bail</t>
        </is>
      </c>
      <c r="F1860" t="inlineStr">
        <is>
          <t>2024-11-21</t>
        </is>
      </c>
      <c r="G1860" s="4" t="n">
        <v>131569.34</v>
      </c>
      <c r="H1860" s="4">
        <f>MAX(0,G1860-SUMIFS('Paiements contrat'!$B:$B,'Paiements contrat'!$A:$A,A1860))</f>
        <v/>
      </c>
      <c r="I1860" s="4" t="n">
        <v>96563.03</v>
      </c>
      <c r="J1860" t="inlineStr">
        <is>
          <t>actif</t>
        </is>
      </c>
    </row>
    <row r="1861">
      <c r="A1861" t="inlineStr">
        <is>
          <t>CTR-01898</t>
        </is>
      </c>
      <c r="B1861" t="inlineStr">
        <is>
          <t>CLI-00918</t>
        </is>
      </c>
      <c r="C1861" t="inlineStr">
        <is>
          <t>Île-de-France</t>
        </is>
      </c>
      <c r="D1861" t="inlineStr">
        <is>
          <t>materiel</t>
        </is>
      </c>
      <c r="E1861" t="inlineStr">
        <is>
          <t>crédit-bail</t>
        </is>
      </c>
      <c r="F1861" t="inlineStr">
        <is>
          <t>2025-09-24</t>
        </is>
      </c>
      <c r="G1861" s="4" t="n">
        <v>182079.57</v>
      </c>
      <c r="H1861" s="4">
        <f>MAX(0,G1861-SUMIFS('Paiements contrat'!$B:$B,'Paiements contrat'!$A:$A,A1861))</f>
        <v/>
      </c>
      <c r="I1861" s="4" t="n">
        <v>146756.55</v>
      </c>
      <c r="J1861" t="inlineStr">
        <is>
          <t>actif</t>
        </is>
      </c>
    </row>
    <row r="1862">
      <c r="A1862" t="inlineStr">
        <is>
          <t>CTR-01899</t>
        </is>
      </c>
      <c r="B1862" t="inlineStr">
        <is>
          <t>CLI-00047</t>
        </is>
      </c>
      <c r="C1862" t="inlineStr">
        <is>
          <t>Martinique</t>
        </is>
      </c>
      <c r="D1862" t="inlineStr">
        <is>
          <t>bateau</t>
        </is>
      </c>
      <c r="E1862" t="inlineStr">
        <is>
          <t>LOA</t>
        </is>
      </c>
      <c r="F1862" t="inlineStr">
        <is>
          <t>2025-06-09</t>
        </is>
      </c>
      <c r="G1862" s="4" t="n">
        <v>51472.97</v>
      </c>
      <c r="H1862" s="4">
        <f>MAX(0,G1862-SUMIFS('Paiements contrat'!$B:$B,'Paiements contrat'!$A:$A,A1862))</f>
        <v/>
      </c>
      <c r="I1862" s="4" t="n">
        <v>38501.51</v>
      </c>
      <c r="J1862" t="inlineStr">
        <is>
          <t>actif</t>
        </is>
      </c>
    </row>
    <row r="1863">
      <c r="A1863" t="inlineStr">
        <is>
          <t>CTR-01900</t>
        </is>
      </c>
      <c r="B1863" t="inlineStr">
        <is>
          <t>CLI-01163</t>
        </is>
      </c>
      <c r="C1863" t="inlineStr">
        <is>
          <t>Martinique</t>
        </is>
      </c>
      <c r="D1863" t="inlineStr">
        <is>
          <t>materiel</t>
        </is>
      </c>
      <c r="E1863" t="inlineStr">
        <is>
          <t>crédit-bail</t>
        </is>
      </c>
      <c r="F1863" t="inlineStr">
        <is>
          <t>2024-09-16</t>
        </is>
      </c>
      <c r="G1863" s="4" t="n">
        <v>137006.39</v>
      </c>
      <c r="H1863" s="4">
        <f>MAX(0,G1863-SUMIFS('Paiements contrat'!$B:$B,'Paiements contrat'!$A:$A,A1863))</f>
        <v/>
      </c>
      <c r="I1863" s="4" t="n">
        <v>101599.36</v>
      </c>
      <c r="J1863" t="inlineStr">
        <is>
          <t>actif</t>
        </is>
      </c>
    </row>
    <row r="1864">
      <c r="A1864" t="inlineStr">
        <is>
          <t>CTR-01901</t>
        </is>
      </c>
      <c r="B1864" t="inlineStr">
        <is>
          <t>CLI-00322</t>
        </is>
      </c>
      <c r="C1864" t="inlineStr">
        <is>
          <t>Île-de-France</t>
        </is>
      </c>
      <c r="D1864" t="inlineStr">
        <is>
          <t>auto</t>
        </is>
      </c>
      <c r="E1864" t="inlineStr">
        <is>
          <t>LLD</t>
        </is>
      </c>
      <c r="F1864" t="inlineStr">
        <is>
          <t>2025-01-09</t>
        </is>
      </c>
      <c r="G1864" s="4" t="n">
        <v>9330.01</v>
      </c>
      <c r="H1864" s="4">
        <f>MAX(0,G1864-SUMIFS('Paiements contrat'!$B:$B,'Paiements contrat'!$A:$A,A1864))</f>
        <v/>
      </c>
      <c r="I1864" s="4" t="n">
        <v>6380.780000000001</v>
      </c>
      <c r="J1864" t="inlineStr">
        <is>
          <t>actif</t>
        </is>
      </c>
    </row>
    <row r="1865">
      <c r="A1865" t="inlineStr">
        <is>
          <t>CTR-01902</t>
        </is>
      </c>
      <c r="B1865" t="inlineStr">
        <is>
          <t>CLI-00427</t>
        </is>
      </c>
      <c r="C1865" t="inlineStr">
        <is>
          <t>Île-de-France</t>
        </is>
      </c>
      <c r="D1865" t="inlineStr">
        <is>
          <t>materiel</t>
        </is>
      </c>
      <c r="E1865" t="inlineStr">
        <is>
          <t>crédit-bail</t>
        </is>
      </c>
      <c r="F1865" t="inlineStr">
        <is>
          <t>2025-07-24</t>
        </is>
      </c>
      <c r="G1865" s="4" t="n">
        <v>144558.58</v>
      </c>
      <c r="H1865" s="4">
        <f>MAX(0,G1865-SUMIFS('Paiements contrat'!$B:$B,'Paiements contrat'!$A:$A,A1865))</f>
        <v/>
      </c>
      <c r="I1865" s="4" t="n">
        <v>61352.50999999998</v>
      </c>
      <c r="J1865" t="inlineStr">
        <is>
          <t>actif</t>
        </is>
      </c>
    </row>
    <row r="1866">
      <c r="A1866" t="inlineStr">
        <is>
          <t>CTR-01903</t>
        </is>
      </c>
      <c r="B1866" t="inlineStr">
        <is>
          <t>CLI-00344</t>
        </is>
      </c>
      <c r="C1866" t="inlineStr">
        <is>
          <t>Guyane</t>
        </is>
      </c>
      <c r="D1866" t="inlineStr">
        <is>
          <t>auto</t>
        </is>
      </c>
      <c r="E1866" t="inlineStr">
        <is>
          <t>LOA</t>
        </is>
      </c>
      <c r="F1866" t="inlineStr">
        <is>
          <t>2025-08-01</t>
        </is>
      </c>
      <c r="G1866" s="4" t="n">
        <v>16690.17</v>
      </c>
      <c r="H1866" s="4">
        <f>MAX(0,G1866-SUMIFS('Paiements contrat'!$B:$B,'Paiements contrat'!$A:$A,A1866))</f>
        <v/>
      </c>
      <c r="I1866" s="4" t="n">
        <v>14024.25</v>
      </c>
      <c r="J1866" t="inlineStr">
        <is>
          <t>actif</t>
        </is>
      </c>
    </row>
    <row r="1867">
      <c r="A1867" t="inlineStr">
        <is>
          <t>CTR-01904</t>
        </is>
      </c>
      <c r="B1867" t="inlineStr">
        <is>
          <t>CLI-00400</t>
        </is>
      </c>
      <c r="C1867" t="inlineStr">
        <is>
          <t>Guyane</t>
        </is>
      </c>
      <c r="D1867" t="inlineStr">
        <is>
          <t>auto</t>
        </is>
      </c>
      <c r="E1867" t="inlineStr">
        <is>
          <t>LLD</t>
        </is>
      </c>
      <c r="F1867" t="inlineStr">
        <is>
          <t>2025-04-06</t>
        </is>
      </c>
      <c r="G1867" s="4" t="n">
        <v>53817.16</v>
      </c>
      <c r="H1867" s="4">
        <f>MAX(0,G1867-SUMIFS('Paiements contrat'!$B:$B,'Paiements contrat'!$A:$A,A1867))</f>
        <v/>
      </c>
      <c r="I1867" s="4" t="n">
        <v>39539.65</v>
      </c>
      <c r="J1867" t="inlineStr">
        <is>
          <t>actif</t>
        </is>
      </c>
    </row>
    <row r="1868">
      <c r="A1868" t="inlineStr">
        <is>
          <t>CTR-01905</t>
        </is>
      </c>
      <c r="B1868" t="inlineStr">
        <is>
          <t>CLI-01325</t>
        </is>
      </c>
      <c r="C1868" t="inlineStr">
        <is>
          <t>Île-de-France</t>
        </is>
      </c>
      <c r="D1868" t="inlineStr">
        <is>
          <t>materiel</t>
        </is>
      </c>
      <c r="E1868" t="inlineStr">
        <is>
          <t>crédit-bail</t>
        </is>
      </c>
      <c r="F1868" t="inlineStr">
        <is>
          <t>2024-06-12</t>
        </is>
      </c>
      <c r="G1868" s="4" t="n">
        <v>109943.78</v>
      </c>
      <c r="H1868" s="4">
        <f>MAX(0,G1868-SUMIFS('Paiements contrat'!$B:$B,'Paiements contrat'!$A:$A,A1868))</f>
        <v/>
      </c>
      <c r="I1868" s="4" t="n">
        <v>76483.07000000001</v>
      </c>
      <c r="J1868" t="inlineStr">
        <is>
          <t>actif</t>
        </is>
      </c>
    </row>
    <row r="1869">
      <c r="A1869" t="inlineStr">
        <is>
          <t>CTR-01906</t>
        </is>
      </c>
      <c r="B1869" t="inlineStr">
        <is>
          <t>CLI-00007</t>
        </is>
      </c>
      <c r="C1869" t="inlineStr">
        <is>
          <t>Réunion</t>
        </is>
      </c>
      <c r="D1869" t="inlineStr">
        <is>
          <t>materiel</t>
        </is>
      </c>
      <c r="E1869" t="inlineStr">
        <is>
          <t>crédit-bail</t>
        </is>
      </c>
      <c r="F1869" t="inlineStr">
        <is>
          <t>2025-12-07</t>
        </is>
      </c>
      <c r="G1869" s="4" t="n">
        <v>24853.97</v>
      </c>
      <c r="H1869" s="4">
        <f>MAX(0,G1869-SUMIFS('Paiements contrat'!$B:$B,'Paiements contrat'!$A:$A,A1869))</f>
        <v/>
      </c>
      <c r="I1869" s="4" t="n">
        <v>21929.96</v>
      </c>
      <c r="J1869" t="inlineStr">
        <is>
          <t>contentieux</t>
        </is>
      </c>
    </row>
    <row r="1870">
      <c r="A1870" t="inlineStr">
        <is>
          <t>CTR-01907</t>
        </is>
      </c>
      <c r="B1870" t="inlineStr">
        <is>
          <t>CLI-00520</t>
        </is>
      </c>
      <c r="C1870" t="inlineStr">
        <is>
          <t>Guadeloupe</t>
        </is>
      </c>
      <c r="D1870" t="inlineStr">
        <is>
          <t>auto</t>
        </is>
      </c>
      <c r="E1870" t="inlineStr">
        <is>
          <t>LLD</t>
        </is>
      </c>
      <c r="F1870" t="inlineStr">
        <is>
          <t>2026-03-19</t>
        </is>
      </c>
      <c r="G1870" s="4" t="n">
        <v>49873.16</v>
      </c>
      <c r="H1870" s="4">
        <f>MAX(0,G1870-SUMIFS('Paiements contrat'!$B:$B,'Paiements contrat'!$A:$A,A1870))</f>
        <v/>
      </c>
      <c r="I1870" s="4" t="n">
        <v>49873.16</v>
      </c>
      <c r="J1870" t="inlineStr">
        <is>
          <t>contentieux</t>
        </is>
      </c>
    </row>
    <row r="1871">
      <c r="A1871" t="inlineStr">
        <is>
          <t>CTR-01908</t>
        </is>
      </c>
      <c r="B1871" t="inlineStr">
        <is>
          <t>CLI-00352</t>
        </is>
      </c>
      <c r="C1871" t="inlineStr">
        <is>
          <t>Île-de-France</t>
        </is>
      </c>
      <c r="D1871" t="inlineStr">
        <is>
          <t>bateau</t>
        </is>
      </c>
      <c r="E1871" t="inlineStr">
        <is>
          <t>LOA</t>
        </is>
      </c>
      <c r="F1871" t="inlineStr">
        <is>
          <t>2025-04-02</t>
        </is>
      </c>
      <c r="G1871" s="4" t="n">
        <v>148854.9</v>
      </c>
      <c r="H1871" s="4">
        <f>MAX(0,G1871-SUMIFS('Paiements contrat'!$B:$B,'Paiements contrat'!$A:$A,A1871))</f>
        <v/>
      </c>
      <c r="I1871" s="4" t="n">
        <v>105841.36</v>
      </c>
      <c r="J1871" t="inlineStr">
        <is>
          <t>actif</t>
        </is>
      </c>
    </row>
    <row r="1872">
      <c r="A1872" t="inlineStr">
        <is>
          <t>CTR-01909</t>
        </is>
      </c>
      <c r="B1872" t="inlineStr">
        <is>
          <t>CLI-01343</t>
        </is>
      </c>
      <c r="C1872" t="inlineStr">
        <is>
          <t>Martinique</t>
        </is>
      </c>
      <c r="D1872" t="inlineStr">
        <is>
          <t>auto</t>
        </is>
      </c>
      <c r="E1872" t="inlineStr">
        <is>
          <t>LLD</t>
        </is>
      </c>
      <c r="F1872" t="inlineStr">
        <is>
          <t>2025-12-21</t>
        </is>
      </c>
      <c r="G1872" s="4" t="n">
        <v>34314.23</v>
      </c>
      <c r="H1872" s="4">
        <f>MAX(0,G1872-SUMIFS('Paiements contrat'!$B:$B,'Paiements contrat'!$A:$A,A1872))</f>
        <v/>
      </c>
      <c r="I1872" s="4" t="n">
        <v>32546.91</v>
      </c>
      <c r="J1872" t="inlineStr">
        <is>
          <t>actif</t>
        </is>
      </c>
    </row>
    <row r="1873">
      <c r="A1873" t="inlineStr">
        <is>
          <t>CTR-01910</t>
        </is>
      </c>
      <c r="B1873" t="inlineStr">
        <is>
          <t>CLI-01063</t>
        </is>
      </c>
      <c r="C1873" t="inlineStr">
        <is>
          <t>Guyane</t>
        </is>
      </c>
      <c r="D1873" t="inlineStr">
        <is>
          <t>materiel</t>
        </is>
      </c>
      <c r="E1873" t="inlineStr">
        <is>
          <t>crédit-bail</t>
        </is>
      </c>
      <c r="F1873" t="inlineStr">
        <is>
          <t>2025-10-10</t>
        </is>
      </c>
      <c r="G1873" s="4" t="n">
        <v>27272.77</v>
      </c>
      <c r="H1873" s="4">
        <f>MAX(0,G1873-SUMIFS('Paiements contrat'!$B:$B,'Paiements contrat'!$A:$A,A1873))</f>
        <v/>
      </c>
      <c r="I1873" s="4" t="n">
        <v>22861.37</v>
      </c>
      <c r="J1873" t="inlineStr">
        <is>
          <t>actif</t>
        </is>
      </c>
    </row>
    <row r="1874">
      <c r="A1874" t="inlineStr">
        <is>
          <t>CTR-01911</t>
        </is>
      </c>
      <c r="B1874" t="inlineStr">
        <is>
          <t>CLI-00937</t>
        </is>
      </c>
      <c r="C1874" t="inlineStr">
        <is>
          <t>Île-de-France</t>
        </is>
      </c>
      <c r="D1874" t="inlineStr">
        <is>
          <t>auto</t>
        </is>
      </c>
      <c r="E1874" t="inlineStr">
        <is>
          <t>LOA</t>
        </is>
      </c>
      <c r="F1874" t="inlineStr">
        <is>
          <t>2024-11-10</t>
        </is>
      </c>
      <c r="G1874" s="4" t="n">
        <v>17276.66</v>
      </c>
      <c r="H1874" s="4">
        <f>MAX(0,G1874-SUMIFS('Paiements contrat'!$B:$B,'Paiements contrat'!$A:$A,A1874))</f>
        <v/>
      </c>
      <c r="I1874" s="4" t="n">
        <v>4853.07</v>
      </c>
      <c r="J1874" t="inlineStr">
        <is>
          <t>actif</t>
        </is>
      </c>
    </row>
    <row r="1875">
      <c r="A1875" t="inlineStr">
        <is>
          <t>CTR-01912</t>
        </is>
      </c>
      <c r="B1875" t="inlineStr">
        <is>
          <t>CLI-00112</t>
        </is>
      </c>
      <c r="C1875" t="inlineStr">
        <is>
          <t>Île-de-France</t>
        </is>
      </c>
      <c r="D1875" t="inlineStr">
        <is>
          <t>bateau</t>
        </is>
      </c>
      <c r="E1875" t="inlineStr">
        <is>
          <t>LOA</t>
        </is>
      </c>
      <c r="F1875" t="inlineStr">
        <is>
          <t>2024-06-20</t>
        </is>
      </c>
      <c r="G1875" s="4" t="n">
        <v>127562.57</v>
      </c>
      <c r="H1875" s="4">
        <f>MAX(0,G1875-SUMIFS('Paiements contrat'!$B:$B,'Paiements contrat'!$A:$A,A1875))</f>
        <v/>
      </c>
      <c r="I1875" s="4" t="n">
        <v>48732.81000000001</v>
      </c>
      <c r="J1875" t="inlineStr">
        <is>
          <t>actif</t>
        </is>
      </c>
    </row>
    <row r="1876">
      <c r="A1876" t="inlineStr">
        <is>
          <t>CTR-01913</t>
        </is>
      </c>
      <c r="B1876" t="inlineStr">
        <is>
          <t>CLI-00637</t>
        </is>
      </c>
      <c r="C1876" t="inlineStr">
        <is>
          <t>Île-de-France</t>
        </is>
      </c>
      <c r="D1876" t="inlineStr">
        <is>
          <t>auto</t>
        </is>
      </c>
      <c r="E1876" t="inlineStr">
        <is>
          <t>LOA</t>
        </is>
      </c>
      <c r="F1876" t="inlineStr">
        <is>
          <t>2026-02-14</t>
        </is>
      </c>
      <c r="G1876" s="4" t="n">
        <v>59228.61</v>
      </c>
      <c r="H1876" s="4">
        <f>MAX(0,G1876-SUMIFS('Paiements contrat'!$B:$B,'Paiements contrat'!$A:$A,A1876))</f>
        <v/>
      </c>
      <c r="I1876" s="4" t="n">
        <v>57428.87</v>
      </c>
      <c r="J1876" t="inlineStr">
        <is>
          <t>actif</t>
        </is>
      </c>
    </row>
    <row r="1877">
      <c r="A1877" t="inlineStr">
        <is>
          <t>CTR-01914</t>
        </is>
      </c>
      <c r="B1877" t="inlineStr">
        <is>
          <t>CLI-00571</t>
        </is>
      </c>
      <c r="C1877" t="inlineStr">
        <is>
          <t>Île-de-France</t>
        </is>
      </c>
      <c r="D1877" t="inlineStr">
        <is>
          <t>materiel</t>
        </is>
      </c>
      <c r="E1877" t="inlineStr">
        <is>
          <t>crédit-bail</t>
        </is>
      </c>
      <c r="F1877" t="inlineStr">
        <is>
          <t>2024-08-13</t>
        </is>
      </c>
      <c r="G1877" s="4" t="n">
        <v>174528.09</v>
      </c>
      <c r="H1877" s="4">
        <f>MAX(0,G1877-SUMIFS('Paiements contrat'!$B:$B,'Paiements contrat'!$A:$A,A1877))</f>
        <v/>
      </c>
      <c r="I1877" s="4" t="n">
        <v>46258.3</v>
      </c>
      <c r="J1877" t="inlineStr">
        <is>
          <t>actif</t>
        </is>
      </c>
    </row>
    <row r="1878">
      <c r="A1878" t="inlineStr">
        <is>
          <t>CTR-01915</t>
        </is>
      </c>
      <c r="B1878" t="inlineStr">
        <is>
          <t>CLI-00633</t>
        </is>
      </c>
      <c r="C1878" t="inlineStr">
        <is>
          <t>Martinique</t>
        </is>
      </c>
      <c r="D1878" t="inlineStr">
        <is>
          <t>materiel</t>
        </is>
      </c>
      <c r="E1878" t="inlineStr">
        <is>
          <t>crédit-bail</t>
        </is>
      </c>
      <c r="F1878" t="inlineStr">
        <is>
          <t>2025-05-10</t>
        </is>
      </c>
      <c r="G1878" s="4" t="n">
        <v>16803.75</v>
      </c>
      <c r="H1878" s="4">
        <f>MAX(0,G1878-SUMIFS('Paiements contrat'!$B:$B,'Paiements contrat'!$A:$A,A1878))</f>
        <v/>
      </c>
      <c r="I1878" s="4" t="n">
        <v>8123.542006201647</v>
      </c>
      <c r="J1878" t="inlineStr">
        <is>
          <t>actif</t>
        </is>
      </c>
    </row>
    <row r="1879">
      <c r="A1879" t="inlineStr">
        <is>
          <t>CTR-01916</t>
        </is>
      </c>
      <c r="B1879" t="inlineStr">
        <is>
          <t>CLI-00470</t>
        </is>
      </c>
      <c r="C1879" t="inlineStr">
        <is>
          <t>Martinique</t>
        </is>
      </c>
      <c r="D1879" t="inlineStr">
        <is>
          <t>auto</t>
        </is>
      </c>
      <c r="E1879" t="inlineStr">
        <is>
          <t>LOA</t>
        </is>
      </c>
      <c r="F1879" t="inlineStr">
        <is>
          <t>2025-02-14</t>
        </is>
      </c>
      <c r="G1879" s="4" t="n">
        <v>38399.34</v>
      </c>
      <c r="H1879" s="4">
        <f>MAX(0,G1879-SUMIFS('Paiements contrat'!$B:$B,'Paiements contrat'!$A:$A,A1879))</f>
        <v/>
      </c>
      <c r="I1879" s="4" t="n">
        <v>32030.50999999999</v>
      </c>
      <c r="J1879" t="inlineStr">
        <is>
          <t>actif</t>
        </is>
      </c>
    </row>
    <row r="1880">
      <c r="A1880" t="inlineStr">
        <is>
          <t>CTR-01917</t>
        </is>
      </c>
      <c r="B1880" t="inlineStr">
        <is>
          <t>CLI-00639</t>
        </is>
      </c>
      <c r="C1880" t="inlineStr">
        <is>
          <t>Île-de-France</t>
        </is>
      </c>
      <c r="D1880" t="inlineStr">
        <is>
          <t>materiel</t>
        </is>
      </c>
      <c r="E1880" t="inlineStr">
        <is>
          <t>crédit-bail</t>
        </is>
      </c>
      <c r="F1880" t="inlineStr">
        <is>
          <t>2024-04-20</t>
        </is>
      </c>
      <c r="G1880" s="4" t="n">
        <v>123302.3</v>
      </c>
      <c r="H1880" s="4">
        <f>MAX(0,G1880-SUMIFS('Paiements contrat'!$B:$B,'Paiements contrat'!$A:$A,A1880))</f>
        <v/>
      </c>
      <c r="I1880" s="4" t="n">
        <v>10190.18000000001</v>
      </c>
      <c r="J1880" t="inlineStr">
        <is>
          <t>soldé</t>
        </is>
      </c>
    </row>
    <row r="1881">
      <c r="A1881" t="inlineStr">
        <is>
          <t>CTR-01918</t>
        </is>
      </c>
      <c r="B1881" t="inlineStr">
        <is>
          <t>CLI-00159</t>
        </is>
      </c>
      <c r="C1881" t="inlineStr">
        <is>
          <t>Île-de-France</t>
        </is>
      </c>
      <c r="D1881" t="inlineStr">
        <is>
          <t>auto</t>
        </is>
      </c>
      <c r="E1881" t="inlineStr">
        <is>
          <t>LOA</t>
        </is>
      </c>
      <c r="F1881" t="inlineStr">
        <is>
          <t>2024-05-21</t>
        </is>
      </c>
      <c r="G1881" s="4" t="n">
        <v>24047.01</v>
      </c>
      <c r="H1881" s="4">
        <f>MAX(0,G1881-SUMIFS('Paiements contrat'!$B:$B,'Paiements contrat'!$A:$A,A1881))</f>
        <v/>
      </c>
      <c r="I1881" s="4" t="n">
        <v>2662.639999999999</v>
      </c>
      <c r="J1881" t="inlineStr">
        <is>
          <t>soldé</t>
        </is>
      </c>
    </row>
    <row r="1882">
      <c r="A1882" t="inlineStr">
        <is>
          <t>CTR-01919</t>
        </is>
      </c>
      <c r="B1882" t="inlineStr">
        <is>
          <t>CLI-01068</t>
        </is>
      </c>
      <c r="C1882" t="inlineStr">
        <is>
          <t>Guadeloupe</t>
        </is>
      </c>
      <c r="D1882" t="inlineStr">
        <is>
          <t>materiel</t>
        </is>
      </c>
      <c r="E1882" t="inlineStr">
        <is>
          <t>crédit-bail</t>
        </is>
      </c>
      <c r="F1882" t="inlineStr">
        <is>
          <t>2025-08-19</t>
        </is>
      </c>
      <c r="G1882" s="4" t="n">
        <v>161432.12</v>
      </c>
      <c r="H1882" s="4">
        <f>MAX(0,G1882-SUMIFS('Paiements contrat'!$B:$B,'Paiements contrat'!$A:$A,A1882))</f>
        <v/>
      </c>
      <c r="I1882" s="4" t="n">
        <v>140963.29</v>
      </c>
      <c r="J1882" t="inlineStr">
        <is>
          <t>actif</t>
        </is>
      </c>
    </row>
    <row r="1883">
      <c r="A1883" t="inlineStr">
        <is>
          <t>CTR-01920</t>
        </is>
      </c>
      <c r="B1883" t="inlineStr">
        <is>
          <t>CLI-00734</t>
        </is>
      </c>
      <c r="C1883" t="inlineStr">
        <is>
          <t>Île-de-France</t>
        </is>
      </c>
      <c r="D1883" t="inlineStr">
        <is>
          <t>auto</t>
        </is>
      </c>
      <c r="E1883" t="inlineStr">
        <is>
          <t>LOA</t>
        </is>
      </c>
      <c r="F1883" t="inlineStr">
        <is>
          <t>2026-03-17</t>
        </is>
      </c>
      <c r="G1883" s="4" t="n">
        <v>34535.76</v>
      </c>
      <c r="H1883" s="4">
        <f>MAX(0,G1883-SUMIFS('Paiements contrat'!$B:$B,'Paiements contrat'!$A:$A,A1883))</f>
        <v/>
      </c>
      <c r="I1883" s="4" t="n">
        <v>34535.76</v>
      </c>
      <c r="J1883" t="inlineStr">
        <is>
          <t>actif</t>
        </is>
      </c>
    </row>
    <row r="1884">
      <c r="A1884" t="inlineStr">
        <is>
          <t>CTR-01921</t>
        </is>
      </c>
      <c r="B1884" t="inlineStr">
        <is>
          <t>CLI-01363</t>
        </is>
      </c>
      <c r="C1884" t="inlineStr">
        <is>
          <t>Martinique</t>
        </is>
      </c>
      <c r="D1884" t="inlineStr">
        <is>
          <t>auto</t>
        </is>
      </c>
      <c r="E1884" t="inlineStr">
        <is>
          <t>LOA</t>
        </is>
      </c>
      <c r="F1884" t="inlineStr">
        <is>
          <t>2024-05-06</t>
        </is>
      </c>
      <c r="G1884" s="4" t="n">
        <v>40826.82</v>
      </c>
      <c r="H1884" s="4">
        <f>MAX(0,G1884-SUMIFS('Paiements contrat'!$B:$B,'Paiements contrat'!$A:$A,A1884))</f>
        <v/>
      </c>
      <c r="I1884" s="4" t="n">
        <v>25205.29</v>
      </c>
      <c r="J1884" t="inlineStr">
        <is>
          <t>actif</t>
        </is>
      </c>
    </row>
    <row r="1885">
      <c r="A1885" t="inlineStr">
        <is>
          <t>CTR-01922</t>
        </is>
      </c>
      <c r="B1885" t="inlineStr">
        <is>
          <t>CLI-00891</t>
        </is>
      </c>
      <c r="C1885" t="inlineStr">
        <is>
          <t>Guyane</t>
        </is>
      </c>
      <c r="D1885" t="inlineStr">
        <is>
          <t>auto</t>
        </is>
      </c>
      <c r="E1885" t="inlineStr">
        <is>
          <t>LLD</t>
        </is>
      </c>
      <c r="F1885" t="inlineStr">
        <is>
          <t>2024-12-26</t>
        </is>
      </c>
      <c r="G1885" s="4" t="n">
        <v>14218.45</v>
      </c>
      <c r="H1885" s="4">
        <f>MAX(0,G1885-SUMIFS('Paiements contrat'!$B:$B,'Paiements contrat'!$A:$A,A1885))</f>
        <v/>
      </c>
      <c r="I1885" s="4" t="n">
        <v>8864.470000000001</v>
      </c>
      <c r="J1885" t="inlineStr">
        <is>
          <t>actif</t>
        </is>
      </c>
    </row>
    <row r="1886">
      <c r="A1886" t="inlineStr">
        <is>
          <t>CTR-01923</t>
        </is>
      </c>
      <c r="B1886" t="inlineStr">
        <is>
          <t>CLI-00431</t>
        </is>
      </c>
      <c r="C1886" t="inlineStr">
        <is>
          <t>Réunion</t>
        </is>
      </c>
      <c r="D1886" t="inlineStr">
        <is>
          <t>auto</t>
        </is>
      </c>
      <c r="E1886" t="inlineStr">
        <is>
          <t>LOA</t>
        </is>
      </c>
      <c r="F1886" t="inlineStr">
        <is>
          <t>2025-02-19</t>
        </is>
      </c>
      <c r="G1886" s="4" t="n">
        <v>33349.43</v>
      </c>
      <c r="H1886" s="4">
        <f>MAX(0,G1886-SUMIFS('Paiements contrat'!$B:$B,'Paiements contrat'!$A:$A,A1886))</f>
        <v/>
      </c>
      <c r="I1886" s="4" t="n">
        <v>26943.28</v>
      </c>
      <c r="J1886" t="inlineStr">
        <is>
          <t>actif</t>
        </is>
      </c>
    </row>
    <row r="1887">
      <c r="A1887" t="inlineStr">
        <is>
          <t>CTR-01924</t>
        </is>
      </c>
      <c r="B1887" t="inlineStr">
        <is>
          <t>CLI-01138</t>
        </is>
      </c>
      <c r="C1887" t="inlineStr">
        <is>
          <t>Île-de-France</t>
        </is>
      </c>
      <c r="D1887" t="inlineStr">
        <is>
          <t>materiel</t>
        </is>
      </c>
      <c r="E1887" t="inlineStr">
        <is>
          <t>crédit-bail</t>
        </is>
      </c>
      <c r="F1887" t="inlineStr">
        <is>
          <t>2025-03-05</t>
        </is>
      </c>
      <c r="G1887" s="4" t="n">
        <v>157040.5</v>
      </c>
      <c r="H1887" s="4">
        <f>MAX(0,G1887-SUMIFS('Paiements contrat'!$B:$B,'Paiements contrat'!$A:$A,A1887))</f>
        <v/>
      </c>
      <c r="I1887" s="4" t="n">
        <v>110281.12</v>
      </c>
      <c r="J1887" t="inlineStr">
        <is>
          <t>actif</t>
        </is>
      </c>
    </row>
    <row r="1888">
      <c r="A1888" t="inlineStr">
        <is>
          <t>CTR-01925</t>
        </is>
      </c>
      <c r="B1888" t="inlineStr">
        <is>
          <t>CLI-01005</t>
        </is>
      </c>
      <c r="C1888" t="inlineStr">
        <is>
          <t>Martinique</t>
        </is>
      </c>
      <c r="D1888" t="inlineStr">
        <is>
          <t>auto</t>
        </is>
      </c>
      <c r="E1888" t="inlineStr">
        <is>
          <t>LOA</t>
        </is>
      </c>
      <c r="F1888" t="inlineStr">
        <is>
          <t>2025-03-17</t>
        </is>
      </c>
      <c r="G1888" s="4" t="n">
        <v>21069.47</v>
      </c>
      <c r="H1888" s="4">
        <f>MAX(0,G1888-SUMIFS('Paiements contrat'!$B:$B,'Paiements contrat'!$A:$A,A1888))</f>
        <v/>
      </c>
      <c r="I1888" s="4" t="n">
        <v>16081.49</v>
      </c>
      <c r="J1888" t="inlineStr">
        <is>
          <t>actif</t>
        </is>
      </c>
    </row>
    <row r="1889">
      <c r="A1889" t="inlineStr">
        <is>
          <t>CTR-01926</t>
        </is>
      </c>
      <c r="B1889" t="inlineStr">
        <is>
          <t>CLI-00428</t>
        </is>
      </c>
      <c r="C1889" t="inlineStr">
        <is>
          <t>Île-de-France</t>
        </is>
      </c>
      <c r="D1889" t="inlineStr">
        <is>
          <t>materiel</t>
        </is>
      </c>
      <c r="E1889" t="inlineStr">
        <is>
          <t>crédit-bail</t>
        </is>
      </c>
      <c r="F1889" t="inlineStr">
        <is>
          <t>2026-03-22</t>
        </is>
      </c>
      <c r="G1889" s="4" t="n">
        <v>133030.26</v>
      </c>
      <c r="H1889" s="4">
        <f>MAX(0,G1889-SUMIFS('Paiements contrat'!$B:$B,'Paiements contrat'!$A:$A,A1889))</f>
        <v/>
      </c>
      <c r="I1889" s="4" t="n">
        <v>133030.26</v>
      </c>
      <c r="J1889" t="inlineStr">
        <is>
          <t>actif</t>
        </is>
      </c>
    </row>
    <row r="1890">
      <c r="A1890" t="inlineStr">
        <is>
          <t>CTR-01927</t>
        </is>
      </c>
      <c r="B1890" t="inlineStr">
        <is>
          <t>CLI-01442</t>
        </is>
      </c>
      <c r="C1890" t="inlineStr">
        <is>
          <t>Île-de-France</t>
        </is>
      </c>
      <c r="D1890" t="inlineStr">
        <is>
          <t>materiel</t>
        </is>
      </c>
      <c r="E1890" t="inlineStr">
        <is>
          <t>crédit-bail</t>
        </is>
      </c>
      <c r="F1890" t="inlineStr">
        <is>
          <t>2025-09-11</t>
        </is>
      </c>
      <c r="G1890" s="4" t="n">
        <v>87152.92999999999</v>
      </c>
      <c r="H1890" s="4">
        <f>MAX(0,G1890-SUMIFS('Paiements contrat'!$B:$B,'Paiements contrat'!$A:$A,A1890))</f>
        <v/>
      </c>
      <c r="I1890" s="4" t="n">
        <v>77283.72</v>
      </c>
      <c r="J1890" t="inlineStr">
        <is>
          <t>actif</t>
        </is>
      </c>
    </row>
    <row r="1891">
      <c r="A1891" t="inlineStr">
        <is>
          <t>CTR-01928</t>
        </is>
      </c>
      <c r="B1891" t="inlineStr">
        <is>
          <t>CLI-00616</t>
        </is>
      </c>
      <c r="C1891" t="inlineStr">
        <is>
          <t>Île-de-France</t>
        </is>
      </c>
      <c r="D1891" t="inlineStr">
        <is>
          <t>bateau</t>
        </is>
      </c>
      <c r="E1891" t="inlineStr">
        <is>
          <t>LOA</t>
        </is>
      </c>
      <c r="F1891" t="inlineStr">
        <is>
          <t>2025-08-19</t>
        </is>
      </c>
      <c r="G1891" s="4" t="n">
        <v>243765.53</v>
      </c>
      <c r="H1891" s="4">
        <f>MAX(0,G1891-SUMIFS('Paiements contrat'!$B:$B,'Paiements contrat'!$A:$A,A1891))</f>
        <v/>
      </c>
      <c r="I1891" s="4" t="n">
        <v>200549.38</v>
      </c>
      <c r="J1891" t="inlineStr">
        <is>
          <t>actif</t>
        </is>
      </c>
    </row>
    <row r="1892">
      <c r="A1892" t="inlineStr">
        <is>
          <t>CTR-01929</t>
        </is>
      </c>
      <c r="B1892" t="inlineStr">
        <is>
          <t>CLI-01492</t>
        </is>
      </c>
      <c r="C1892" t="inlineStr">
        <is>
          <t>Île-de-France</t>
        </is>
      </c>
      <c r="D1892" t="inlineStr">
        <is>
          <t>auto</t>
        </is>
      </c>
      <c r="E1892" t="inlineStr">
        <is>
          <t>LLD</t>
        </is>
      </c>
      <c r="F1892" t="inlineStr">
        <is>
          <t>2024-12-20</t>
        </is>
      </c>
      <c r="G1892" s="4" t="n">
        <v>15007.62</v>
      </c>
      <c r="H1892" s="4">
        <f>MAX(0,G1892-SUMIFS('Paiements contrat'!$B:$B,'Paiements contrat'!$A:$A,A1892))</f>
        <v/>
      </c>
      <c r="I1892" s="4" t="n">
        <v>6365.720000000001</v>
      </c>
      <c r="J1892" t="inlineStr">
        <is>
          <t>actif</t>
        </is>
      </c>
    </row>
    <row r="1893">
      <c r="A1893" t="inlineStr">
        <is>
          <t>CTR-01930</t>
        </is>
      </c>
      <c r="B1893" t="inlineStr">
        <is>
          <t>CLI-00962</t>
        </is>
      </c>
      <c r="C1893" t="inlineStr">
        <is>
          <t>Île-de-France</t>
        </is>
      </c>
      <c r="D1893" t="inlineStr">
        <is>
          <t>auto</t>
        </is>
      </c>
      <c r="E1893" t="inlineStr">
        <is>
          <t>LLD</t>
        </is>
      </c>
      <c r="F1893" t="inlineStr">
        <is>
          <t>2025-01-12</t>
        </is>
      </c>
      <c r="G1893" s="4" t="n">
        <v>60336.36</v>
      </c>
      <c r="H1893" s="4">
        <f>MAX(0,G1893-SUMIFS('Paiements contrat'!$B:$B,'Paiements contrat'!$A:$A,A1893))</f>
        <v/>
      </c>
      <c r="I1893" s="4" t="n">
        <v>28446.47</v>
      </c>
      <c r="J1893" t="inlineStr">
        <is>
          <t>actif</t>
        </is>
      </c>
    </row>
    <row r="1894">
      <c r="A1894" t="inlineStr">
        <is>
          <t>CTR-01931</t>
        </is>
      </c>
      <c r="B1894" t="inlineStr">
        <is>
          <t>CLI-00946</t>
        </is>
      </c>
      <c r="C1894" t="inlineStr">
        <is>
          <t>Île-de-France</t>
        </is>
      </c>
      <c r="D1894" t="inlineStr">
        <is>
          <t>auto</t>
        </is>
      </c>
      <c r="E1894" t="inlineStr">
        <is>
          <t>LOA</t>
        </is>
      </c>
      <c r="F1894" t="inlineStr">
        <is>
          <t>2026-03-18</t>
        </is>
      </c>
      <c r="G1894" s="4" t="n">
        <v>47924.85</v>
      </c>
      <c r="H1894" s="4">
        <f>MAX(0,G1894-SUMIFS('Paiements contrat'!$B:$B,'Paiements contrat'!$A:$A,A1894))</f>
        <v/>
      </c>
      <c r="I1894" s="4" t="n">
        <v>47924.85</v>
      </c>
      <c r="J1894" t="inlineStr">
        <is>
          <t>actif</t>
        </is>
      </c>
    </row>
    <row r="1895">
      <c r="A1895" t="inlineStr">
        <is>
          <t>CTR-01932</t>
        </is>
      </c>
      <c r="B1895" t="inlineStr">
        <is>
          <t>CLI-01124</t>
        </is>
      </c>
      <c r="C1895" t="inlineStr">
        <is>
          <t>Île-de-France</t>
        </is>
      </c>
      <c r="D1895" t="inlineStr">
        <is>
          <t>auto</t>
        </is>
      </c>
      <c r="E1895" t="inlineStr">
        <is>
          <t>LOA</t>
        </is>
      </c>
      <c r="F1895" t="inlineStr">
        <is>
          <t>2025-12-06</t>
        </is>
      </c>
      <c r="G1895" s="4" t="n">
        <v>40387.1</v>
      </c>
      <c r="H1895" s="4">
        <f>MAX(0,G1895-SUMIFS('Paiements contrat'!$B:$B,'Paiements contrat'!$A:$A,A1895))</f>
        <v/>
      </c>
      <c r="I1895" s="4" t="n">
        <v>36570.81</v>
      </c>
      <c r="J1895" t="inlineStr">
        <is>
          <t>actif</t>
        </is>
      </c>
    </row>
    <row r="1896">
      <c r="A1896" t="inlineStr">
        <is>
          <t>CTR-01933</t>
        </is>
      </c>
      <c r="B1896" t="inlineStr">
        <is>
          <t>CLI-01348</t>
        </is>
      </c>
      <c r="C1896" t="inlineStr">
        <is>
          <t>Île-de-France</t>
        </is>
      </c>
      <c r="D1896" t="inlineStr">
        <is>
          <t>auto</t>
        </is>
      </c>
      <c r="E1896" t="inlineStr">
        <is>
          <t>LOA</t>
        </is>
      </c>
      <c r="F1896" t="inlineStr">
        <is>
          <t>2025-09-22</t>
        </is>
      </c>
      <c r="G1896" s="4" t="n">
        <v>19587.85</v>
      </c>
      <c r="H1896" s="4">
        <f>MAX(0,G1896-SUMIFS('Paiements contrat'!$B:$B,'Paiements contrat'!$A:$A,A1896))</f>
        <v/>
      </c>
      <c r="I1896" s="4" t="n">
        <v>16430.94</v>
      </c>
      <c r="J1896" t="inlineStr">
        <is>
          <t>actif</t>
        </is>
      </c>
    </row>
    <row r="1897">
      <c r="A1897" t="inlineStr">
        <is>
          <t>CTR-01934</t>
        </is>
      </c>
      <c r="B1897" t="inlineStr">
        <is>
          <t>CLI-00360</t>
        </is>
      </c>
      <c r="C1897" t="inlineStr">
        <is>
          <t>Guadeloupe</t>
        </is>
      </c>
      <c r="D1897" t="inlineStr">
        <is>
          <t>auto</t>
        </is>
      </c>
      <c r="E1897" t="inlineStr">
        <is>
          <t>LOA</t>
        </is>
      </c>
      <c r="F1897" t="inlineStr">
        <is>
          <t>2024-12-02</t>
        </is>
      </c>
      <c r="G1897" s="4" t="n">
        <v>62606.13</v>
      </c>
      <c r="H1897" s="4">
        <f>MAX(0,G1897-SUMIFS('Paiements contrat'!$B:$B,'Paiements contrat'!$A:$A,A1897))</f>
        <v/>
      </c>
      <c r="I1897" s="4" t="n">
        <v>51150.67975307748</v>
      </c>
      <c r="J1897" t="inlineStr">
        <is>
          <t>actif</t>
        </is>
      </c>
    </row>
    <row r="1898">
      <c r="A1898" t="inlineStr">
        <is>
          <t>CTR-01935</t>
        </is>
      </c>
      <c r="B1898" t="inlineStr">
        <is>
          <t>CLI-01108</t>
        </is>
      </c>
      <c r="C1898" t="inlineStr">
        <is>
          <t>Île-de-France</t>
        </is>
      </c>
      <c r="D1898" t="inlineStr">
        <is>
          <t>auto</t>
        </is>
      </c>
      <c r="E1898" t="inlineStr">
        <is>
          <t>LOA</t>
        </is>
      </c>
      <c r="F1898" t="inlineStr">
        <is>
          <t>2024-04-07</t>
        </is>
      </c>
      <c r="G1898" s="4" t="n">
        <v>8761.67</v>
      </c>
      <c r="H1898" s="4">
        <f>MAX(0,G1898-SUMIFS('Paiements contrat'!$B:$B,'Paiements contrat'!$A:$A,A1898))</f>
        <v/>
      </c>
      <c r="I1898" s="4" t="n">
        <v>2445.294130060802</v>
      </c>
      <c r="J1898" t="inlineStr">
        <is>
          <t>soldé</t>
        </is>
      </c>
    </row>
    <row r="1899">
      <c r="A1899" t="inlineStr">
        <is>
          <t>CTR-01936</t>
        </is>
      </c>
      <c r="B1899" t="inlineStr">
        <is>
          <t>CLI-01092</t>
        </is>
      </c>
      <c r="C1899" t="inlineStr">
        <is>
          <t>Île-de-France</t>
        </is>
      </c>
      <c r="D1899" t="inlineStr">
        <is>
          <t>bateau</t>
        </is>
      </c>
      <c r="E1899" t="inlineStr">
        <is>
          <t>LOA</t>
        </is>
      </c>
      <c r="F1899" t="inlineStr">
        <is>
          <t>2025-08-21</t>
        </is>
      </c>
      <c r="G1899" s="4" t="n">
        <v>123157.71</v>
      </c>
      <c r="H1899" s="4">
        <f>MAX(0,G1899-SUMIFS('Paiements contrat'!$B:$B,'Paiements contrat'!$A:$A,A1899))</f>
        <v/>
      </c>
      <c r="I1899" s="4" t="n">
        <v>93623.89000000001</v>
      </c>
      <c r="J1899" t="inlineStr">
        <is>
          <t>actif</t>
        </is>
      </c>
    </row>
    <row r="1900">
      <c r="A1900" t="inlineStr">
        <is>
          <t>CTR-01937</t>
        </is>
      </c>
      <c r="B1900" t="inlineStr">
        <is>
          <t>CLI-01021</t>
        </is>
      </c>
      <c r="C1900" t="inlineStr">
        <is>
          <t>Île-de-France</t>
        </is>
      </c>
      <c r="D1900" t="inlineStr">
        <is>
          <t>auto</t>
        </is>
      </c>
      <c r="E1900" t="inlineStr">
        <is>
          <t>LLD</t>
        </is>
      </c>
      <c r="F1900" t="inlineStr">
        <is>
          <t>2025-02-24</t>
        </is>
      </c>
      <c r="G1900" s="4" t="n">
        <v>35955.33</v>
      </c>
      <c r="H1900" s="4">
        <f>MAX(0,G1900-SUMIFS('Paiements contrat'!$B:$B,'Paiements contrat'!$A:$A,A1900))</f>
        <v/>
      </c>
      <c r="I1900" s="4" t="n">
        <v>18224.67</v>
      </c>
      <c r="J1900" t="inlineStr">
        <is>
          <t>actif</t>
        </is>
      </c>
    </row>
    <row r="1901">
      <c r="A1901" t="inlineStr">
        <is>
          <t>CTR-01938</t>
        </is>
      </c>
      <c r="B1901" t="inlineStr">
        <is>
          <t>CLI-00684</t>
        </is>
      </c>
      <c r="C1901" t="inlineStr">
        <is>
          <t>Réunion</t>
        </is>
      </c>
      <c r="D1901" t="inlineStr">
        <is>
          <t>materiel</t>
        </is>
      </c>
      <c r="E1901" t="inlineStr">
        <is>
          <t>crédit-bail</t>
        </is>
      </c>
      <c r="F1901" t="inlineStr">
        <is>
          <t>2024-06-10</t>
        </is>
      </c>
      <c r="G1901" s="4" t="n">
        <v>49320.23</v>
      </c>
      <c r="H1901" s="4">
        <f>MAX(0,G1901-SUMIFS('Paiements contrat'!$B:$B,'Paiements contrat'!$A:$A,A1901))</f>
        <v/>
      </c>
      <c r="I1901" s="4" t="n">
        <v>30698.19126188656</v>
      </c>
      <c r="J1901" t="inlineStr">
        <is>
          <t>actif</t>
        </is>
      </c>
    </row>
    <row r="1902">
      <c r="A1902" t="inlineStr">
        <is>
          <t>CTR-01939</t>
        </is>
      </c>
      <c r="B1902" t="inlineStr">
        <is>
          <t>CLI-01461</t>
        </is>
      </c>
      <c r="C1902" t="inlineStr">
        <is>
          <t>Île-de-France</t>
        </is>
      </c>
      <c r="D1902" t="inlineStr">
        <is>
          <t>materiel</t>
        </is>
      </c>
      <c r="E1902" t="inlineStr">
        <is>
          <t>crédit-bail</t>
        </is>
      </c>
      <c r="F1902" t="inlineStr">
        <is>
          <t>2026-01-17</t>
        </is>
      </c>
      <c r="G1902" s="4" t="n">
        <v>127489.01</v>
      </c>
      <c r="H1902" s="4">
        <f>MAX(0,G1902-SUMIFS('Paiements contrat'!$B:$B,'Paiements contrat'!$A:$A,A1902))</f>
        <v/>
      </c>
      <c r="I1902" s="4" t="n">
        <v>117157.88</v>
      </c>
      <c r="J1902" t="inlineStr">
        <is>
          <t>actif</t>
        </is>
      </c>
    </row>
    <row r="1903">
      <c r="A1903" t="inlineStr">
        <is>
          <t>CTR-01940</t>
        </is>
      </c>
      <c r="B1903" t="inlineStr">
        <is>
          <t>CLI-00677</t>
        </is>
      </c>
      <c r="C1903" t="inlineStr">
        <is>
          <t>Martinique</t>
        </is>
      </c>
      <c r="D1903" t="inlineStr">
        <is>
          <t>auto</t>
        </is>
      </c>
      <c r="E1903" t="inlineStr">
        <is>
          <t>LOA</t>
        </is>
      </c>
      <c r="F1903" t="inlineStr">
        <is>
          <t>2025-12-09</t>
        </is>
      </c>
      <c r="G1903" s="4" t="n">
        <v>38535.09</v>
      </c>
      <c r="H1903" s="4">
        <f>MAX(0,G1903-SUMIFS('Paiements contrat'!$B:$B,'Paiements contrat'!$A:$A,A1903))</f>
        <v/>
      </c>
      <c r="I1903" s="4" t="n">
        <v>37169.35999999999</v>
      </c>
      <c r="J1903" t="inlineStr">
        <is>
          <t>contentieux</t>
        </is>
      </c>
    </row>
    <row r="1904">
      <c r="A1904" t="inlineStr">
        <is>
          <t>CTR-01941</t>
        </is>
      </c>
      <c r="B1904" t="inlineStr">
        <is>
          <t>CLI-00781</t>
        </is>
      </c>
      <c r="C1904" t="inlineStr">
        <is>
          <t>Martinique</t>
        </is>
      </c>
      <c r="D1904" t="inlineStr">
        <is>
          <t>auto</t>
        </is>
      </c>
      <c r="E1904" t="inlineStr">
        <is>
          <t>LOA</t>
        </is>
      </c>
      <c r="F1904" t="inlineStr">
        <is>
          <t>2025-06-17</t>
        </is>
      </c>
      <c r="G1904" s="4" t="n">
        <v>26361.87</v>
      </c>
      <c r="H1904" s="4">
        <f>MAX(0,G1904-SUMIFS('Paiements contrat'!$B:$B,'Paiements contrat'!$A:$A,A1904))</f>
        <v/>
      </c>
      <c r="I1904" s="4" t="n">
        <v>18639.8</v>
      </c>
      <c r="J1904" t="inlineStr">
        <is>
          <t>actif</t>
        </is>
      </c>
    </row>
    <row r="1905">
      <c r="A1905" t="inlineStr">
        <is>
          <t>CTR-01942</t>
        </is>
      </c>
      <c r="B1905" t="inlineStr">
        <is>
          <t>CLI-00353</t>
        </is>
      </c>
      <c r="C1905" t="inlineStr">
        <is>
          <t>Île-de-France</t>
        </is>
      </c>
      <c r="D1905" t="inlineStr">
        <is>
          <t>bateau</t>
        </is>
      </c>
      <c r="E1905" t="inlineStr">
        <is>
          <t>LOA</t>
        </is>
      </c>
      <c r="F1905" t="inlineStr">
        <is>
          <t>2025-08-16</t>
        </is>
      </c>
      <c r="G1905" s="4" t="n">
        <v>57811.36</v>
      </c>
      <c r="H1905" s="4">
        <f>MAX(0,G1905-SUMIFS('Paiements contrat'!$B:$B,'Paiements contrat'!$A:$A,A1905))</f>
        <v/>
      </c>
      <c r="I1905" s="4" t="n">
        <v>38814.25</v>
      </c>
      <c r="J1905" t="inlineStr">
        <is>
          <t>actif</t>
        </is>
      </c>
    </row>
    <row r="1906">
      <c r="A1906" t="inlineStr">
        <is>
          <t>CTR-01943</t>
        </is>
      </c>
      <c r="B1906" t="inlineStr">
        <is>
          <t>CLI-00408</t>
        </is>
      </c>
      <c r="C1906" t="inlineStr">
        <is>
          <t>Réunion</t>
        </is>
      </c>
      <c r="D1906" t="inlineStr">
        <is>
          <t>auto</t>
        </is>
      </c>
      <c r="E1906" t="inlineStr">
        <is>
          <t>LLD</t>
        </is>
      </c>
      <c r="F1906" t="inlineStr">
        <is>
          <t>2025-11-22</t>
        </is>
      </c>
      <c r="G1906" s="4" t="n">
        <v>43576.8</v>
      </c>
      <c r="H1906" s="4">
        <f>MAX(0,G1906-SUMIFS('Paiements contrat'!$B:$B,'Paiements contrat'!$A:$A,A1906))</f>
        <v/>
      </c>
      <c r="I1906" s="4" t="n">
        <v>39083.16</v>
      </c>
      <c r="J1906" t="inlineStr">
        <is>
          <t>actif</t>
        </is>
      </c>
    </row>
    <row r="1907">
      <c r="A1907" t="inlineStr">
        <is>
          <t>CTR-01944</t>
        </is>
      </c>
      <c r="B1907" t="inlineStr">
        <is>
          <t>CLI-01111</t>
        </is>
      </c>
      <c r="C1907" t="inlineStr">
        <is>
          <t>Île-de-France</t>
        </is>
      </c>
      <c r="D1907" t="inlineStr">
        <is>
          <t>auto</t>
        </is>
      </c>
      <c r="E1907" t="inlineStr">
        <is>
          <t>LOA</t>
        </is>
      </c>
      <c r="F1907" t="inlineStr">
        <is>
          <t>2025-03-05</t>
        </is>
      </c>
      <c r="G1907" s="4" t="n">
        <v>13563.23</v>
      </c>
      <c r="H1907" s="4">
        <f>MAX(0,G1907-SUMIFS('Paiements contrat'!$B:$B,'Paiements contrat'!$A:$A,A1907))</f>
        <v/>
      </c>
      <c r="I1907" s="4" t="n">
        <v>4803.045845797425</v>
      </c>
      <c r="J1907" t="inlineStr">
        <is>
          <t>actif</t>
        </is>
      </c>
    </row>
    <row r="1908">
      <c r="A1908" t="inlineStr">
        <is>
          <t>CTR-01945</t>
        </is>
      </c>
      <c r="B1908" t="inlineStr">
        <is>
          <t>CLI-00602</t>
        </is>
      </c>
      <c r="C1908" t="inlineStr">
        <is>
          <t>Martinique</t>
        </is>
      </c>
      <c r="D1908" t="inlineStr">
        <is>
          <t>materiel</t>
        </is>
      </c>
      <c r="E1908" t="inlineStr">
        <is>
          <t>crédit-bail</t>
        </is>
      </c>
      <c r="F1908" t="inlineStr">
        <is>
          <t>2024-05-08</t>
        </is>
      </c>
      <c r="G1908" s="4" t="n">
        <v>83071.21000000001</v>
      </c>
      <c r="H1908" s="4">
        <f>MAX(0,G1908-SUMIFS('Paiements contrat'!$B:$B,'Paiements contrat'!$A:$A,A1908))</f>
        <v/>
      </c>
      <c r="I1908" s="4" t="n">
        <v>35634.67672772268</v>
      </c>
      <c r="J1908" t="inlineStr">
        <is>
          <t>actif</t>
        </is>
      </c>
    </row>
    <row r="1909">
      <c r="A1909" t="inlineStr">
        <is>
          <t>CTR-01947</t>
        </is>
      </c>
      <c r="B1909" t="inlineStr">
        <is>
          <t>CLI-00129</t>
        </is>
      </c>
      <c r="C1909" t="inlineStr">
        <is>
          <t>Guadeloupe</t>
        </is>
      </c>
      <c r="D1909" t="inlineStr">
        <is>
          <t>auto</t>
        </is>
      </c>
      <c r="E1909" t="inlineStr">
        <is>
          <t>LLD</t>
        </is>
      </c>
      <c r="F1909" t="inlineStr">
        <is>
          <t>2026-02-26</t>
        </is>
      </c>
      <c r="G1909" s="4" t="n">
        <v>34264.22</v>
      </c>
      <c r="H1909" s="4">
        <f>MAX(0,G1909-SUMIFS('Paiements contrat'!$B:$B,'Paiements contrat'!$A:$A,A1909))</f>
        <v/>
      </c>
      <c r="I1909" s="4" t="n">
        <v>32913.34</v>
      </c>
      <c r="J1909" t="inlineStr">
        <is>
          <t>actif</t>
        </is>
      </c>
    </row>
    <row r="1910">
      <c r="A1910" t="inlineStr">
        <is>
          <t>CTR-01948</t>
        </is>
      </c>
      <c r="B1910" t="inlineStr">
        <is>
          <t>CLI-00270</t>
        </is>
      </c>
      <c r="C1910" t="inlineStr">
        <is>
          <t>Île-de-France</t>
        </is>
      </c>
      <c r="D1910" t="inlineStr">
        <is>
          <t>auto</t>
        </is>
      </c>
      <c r="E1910" t="inlineStr">
        <is>
          <t>LLD</t>
        </is>
      </c>
      <c r="F1910" t="inlineStr">
        <is>
          <t>2025-04-04</t>
        </is>
      </c>
      <c r="G1910" s="4" t="n">
        <v>19525.24</v>
      </c>
      <c r="H1910" s="4">
        <f>MAX(0,G1910-SUMIFS('Paiements contrat'!$B:$B,'Paiements contrat'!$A:$A,A1910))</f>
        <v/>
      </c>
      <c r="I1910" s="4" t="n">
        <v>1650.720000000001</v>
      </c>
      <c r="J1910" t="inlineStr">
        <is>
          <t>actif</t>
        </is>
      </c>
    </row>
    <row r="1911">
      <c r="A1911" t="inlineStr">
        <is>
          <t>CTR-01949</t>
        </is>
      </c>
      <c r="B1911" t="inlineStr">
        <is>
          <t>CLI-00173</t>
        </is>
      </c>
      <c r="C1911" t="inlineStr">
        <is>
          <t>Île-de-France</t>
        </is>
      </c>
      <c r="D1911" t="inlineStr">
        <is>
          <t>materiel</t>
        </is>
      </c>
      <c r="E1911" t="inlineStr">
        <is>
          <t>crédit-bail</t>
        </is>
      </c>
      <c r="F1911" t="inlineStr">
        <is>
          <t>2026-03-01</t>
        </is>
      </c>
      <c r="G1911" s="4" t="n">
        <v>46796.83</v>
      </c>
      <c r="H1911" s="4">
        <f>MAX(0,G1911-SUMIFS('Paiements contrat'!$B:$B,'Paiements contrat'!$A:$A,A1911))</f>
        <v/>
      </c>
      <c r="I1911" s="4" t="n">
        <v>46796.83</v>
      </c>
      <c r="J1911" t="inlineStr">
        <is>
          <t>actif</t>
        </is>
      </c>
    </row>
    <row r="1912">
      <c r="A1912" t="inlineStr">
        <is>
          <t>CTR-01950</t>
        </is>
      </c>
      <c r="B1912" t="inlineStr">
        <is>
          <t>CLI-00238</t>
        </is>
      </c>
      <c r="C1912" t="inlineStr">
        <is>
          <t>Île-de-France</t>
        </is>
      </c>
      <c r="D1912" t="inlineStr">
        <is>
          <t>materiel</t>
        </is>
      </c>
      <c r="E1912" t="inlineStr">
        <is>
          <t>crédit-bail</t>
        </is>
      </c>
      <c r="F1912" t="inlineStr">
        <is>
          <t>2025-12-03</t>
        </is>
      </c>
      <c r="G1912" s="4" t="n">
        <v>137856.49</v>
      </c>
      <c r="H1912" s="4">
        <f>MAX(0,G1912-SUMIFS('Paiements contrat'!$B:$B,'Paiements contrat'!$A:$A,A1912))</f>
        <v/>
      </c>
      <c r="I1912" s="4" t="n">
        <v>129738.7</v>
      </c>
      <c r="J1912" t="inlineStr">
        <is>
          <t>actif</t>
        </is>
      </c>
    </row>
    <row r="1913">
      <c r="A1913" t="inlineStr">
        <is>
          <t>CTR-01951</t>
        </is>
      </c>
      <c r="B1913" t="inlineStr">
        <is>
          <t>CLI-01282</t>
        </is>
      </c>
      <c r="C1913" t="inlineStr">
        <is>
          <t>Île-de-France</t>
        </is>
      </c>
      <c r="D1913" t="inlineStr">
        <is>
          <t>materiel</t>
        </is>
      </c>
      <c r="E1913" t="inlineStr">
        <is>
          <t>crédit-bail</t>
        </is>
      </c>
      <c r="F1913" t="inlineStr">
        <is>
          <t>2025-08-08</t>
        </is>
      </c>
      <c r="G1913" s="4" t="n">
        <v>92513.55</v>
      </c>
      <c r="H1913" s="4">
        <f>MAX(0,G1913-SUMIFS('Paiements contrat'!$B:$B,'Paiements contrat'!$A:$A,A1913))</f>
        <v/>
      </c>
      <c r="I1913" s="4" t="n">
        <v>62465.77</v>
      </c>
      <c r="J1913" t="inlineStr">
        <is>
          <t>actif</t>
        </is>
      </c>
    </row>
    <row r="1914">
      <c r="A1914" t="inlineStr">
        <is>
          <t>CTR-01952</t>
        </is>
      </c>
      <c r="B1914" t="inlineStr">
        <is>
          <t>CLI-00211</t>
        </is>
      </c>
      <c r="C1914" t="inlineStr">
        <is>
          <t>Île-de-France</t>
        </is>
      </c>
      <c r="D1914" t="inlineStr">
        <is>
          <t>auto</t>
        </is>
      </c>
      <c r="E1914" t="inlineStr">
        <is>
          <t>LOA</t>
        </is>
      </c>
      <c r="F1914" t="inlineStr">
        <is>
          <t>2024-12-22</t>
        </is>
      </c>
      <c r="G1914" s="4" t="n">
        <v>30949.94</v>
      </c>
      <c r="H1914" s="4">
        <f>MAX(0,G1914-SUMIFS('Paiements contrat'!$B:$B,'Paiements contrat'!$A:$A,A1914))</f>
        <v/>
      </c>
      <c r="I1914" s="4" t="n">
        <v>14473.32</v>
      </c>
      <c r="J1914" t="inlineStr">
        <is>
          <t>actif</t>
        </is>
      </c>
    </row>
    <row r="1915">
      <c r="A1915" t="inlineStr">
        <is>
          <t>CTR-01953</t>
        </is>
      </c>
      <c r="B1915" t="inlineStr">
        <is>
          <t>CLI-00555</t>
        </is>
      </c>
      <c r="C1915" t="inlineStr">
        <is>
          <t>Île-de-France</t>
        </is>
      </c>
      <c r="D1915" t="inlineStr">
        <is>
          <t>bateau</t>
        </is>
      </c>
      <c r="E1915" t="inlineStr">
        <is>
          <t>LOA</t>
        </is>
      </c>
      <c r="F1915" t="inlineStr">
        <is>
          <t>2025-10-16</t>
        </is>
      </c>
      <c r="G1915" s="4" t="n">
        <v>177126.66</v>
      </c>
      <c r="H1915" s="4">
        <f>MAX(0,G1915-SUMIFS('Paiements contrat'!$B:$B,'Paiements contrat'!$A:$A,A1915))</f>
        <v/>
      </c>
      <c r="I1915" s="4" t="n">
        <v>160758.64</v>
      </c>
      <c r="J1915" t="inlineStr">
        <is>
          <t>actif</t>
        </is>
      </c>
    </row>
    <row r="1916">
      <c r="A1916" t="inlineStr">
        <is>
          <t>CTR-01954</t>
        </is>
      </c>
      <c r="B1916" t="inlineStr">
        <is>
          <t>CLI-00309</t>
        </is>
      </c>
      <c r="C1916" t="inlineStr">
        <is>
          <t>Guadeloupe</t>
        </is>
      </c>
      <c r="D1916" t="inlineStr">
        <is>
          <t>auto</t>
        </is>
      </c>
      <c r="E1916" t="inlineStr">
        <is>
          <t>LLD</t>
        </is>
      </c>
      <c r="F1916" t="inlineStr">
        <is>
          <t>2025-07-27</t>
        </is>
      </c>
      <c r="G1916" s="4" t="n">
        <v>41279.87</v>
      </c>
      <c r="H1916" s="4">
        <f>MAX(0,G1916-SUMIFS('Paiements contrat'!$B:$B,'Paiements contrat'!$A:$A,A1916))</f>
        <v/>
      </c>
      <c r="I1916" s="4" t="n">
        <v>37127.67000000001</v>
      </c>
      <c r="J1916" t="inlineStr">
        <is>
          <t>actif</t>
        </is>
      </c>
    </row>
    <row r="1917">
      <c r="A1917" t="inlineStr">
        <is>
          <t>CTR-01955</t>
        </is>
      </c>
      <c r="B1917" t="inlineStr">
        <is>
          <t>CLI-00925</t>
        </is>
      </c>
      <c r="C1917" t="inlineStr">
        <is>
          <t>Réunion</t>
        </is>
      </c>
      <c r="D1917" t="inlineStr">
        <is>
          <t>auto</t>
        </is>
      </c>
      <c r="E1917" t="inlineStr">
        <is>
          <t>LLD</t>
        </is>
      </c>
      <c r="F1917" t="inlineStr">
        <is>
          <t>2025-08-22</t>
        </is>
      </c>
      <c r="G1917" s="4" t="n">
        <v>32721.84</v>
      </c>
      <c r="H1917" s="4">
        <f>MAX(0,G1917-SUMIFS('Paiements contrat'!$B:$B,'Paiements contrat'!$A:$A,A1917))</f>
        <v/>
      </c>
      <c r="I1917" s="4" t="n">
        <v>28509.51</v>
      </c>
      <c r="J1917" t="inlineStr">
        <is>
          <t>actif</t>
        </is>
      </c>
    </row>
    <row r="1918">
      <c r="A1918" t="inlineStr">
        <is>
          <t>CTR-01956</t>
        </is>
      </c>
      <c r="B1918" t="inlineStr">
        <is>
          <t>CLI-00557</t>
        </is>
      </c>
      <c r="C1918" t="inlineStr">
        <is>
          <t>Île-de-France</t>
        </is>
      </c>
      <c r="D1918" t="inlineStr">
        <is>
          <t>auto</t>
        </is>
      </c>
      <c r="E1918" t="inlineStr">
        <is>
          <t>LOA</t>
        </is>
      </c>
      <c r="F1918" t="inlineStr">
        <is>
          <t>2024-07-20</t>
        </is>
      </c>
      <c r="G1918" s="4" t="n">
        <v>45860.62</v>
      </c>
      <c r="H1918" s="4">
        <f>MAX(0,G1918-SUMIFS('Paiements contrat'!$B:$B,'Paiements contrat'!$A:$A,A1918))</f>
        <v/>
      </c>
      <c r="I1918" s="4" t="n">
        <v>10991.151858531</v>
      </c>
      <c r="J1918" t="inlineStr">
        <is>
          <t>actif</t>
        </is>
      </c>
    </row>
    <row r="1919">
      <c r="A1919" t="inlineStr">
        <is>
          <t>CTR-01957</t>
        </is>
      </c>
      <c r="B1919" t="inlineStr">
        <is>
          <t>CLI-00594</t>
        </is>
      </c>
      <c r="C1919" t="inlineStr">
        <is>
          <t>Martinique</t>
        </is>
      </c>
      <c r="D1919" t="inlineStr">
        <is>
          <t>bateau</t>
        </is>
      </c>
      <c r="E1919" t="inlineStr">
        <is>
          <t>LOA</t>
        </is>
      </c>
      <c r="F1919" t="inlineStr">
        <is>
          <t>2026-01-23</t>
        </is>
      </c>
      <c r="G1919" s="4" t="n">
        <v>63266.55</v>
      </c>
      <c r="H1919" s="4">
        <f>MAX(0,G1919-SUMIFS('Paiements contrat'!$B:$B,'Paiements contrat'!$A:$A,A1919))</f>
        <v/>
      </c>
      <c r="I1919" s="4" t="n">
        <v>60170.57</v>
      </c>
      <c r="J1919" t="inlineStr">
        <is>
          <t>actif</t>
        </is>
      </c>
    </row>
    <row r="1920">
      <c r="A1920" t="inlineStr">
        <is>
          <t>CTR-01958</t>
        </is>
      </c>
      <c r="B1920" t="inlineStr">
        <is>
          <t>CLI-01491</t>
        </is>
      </c>
      <c r="C1920" t="inlineStr">
        <is>
          <t>Île-de-France</t>
        </is>
      </c>
      <c r="D1920" t="inlineStr">
        <is>
          <t>auto</t>
        </is>
      </c>
      <c r="E1920" t="inlineStr">
        <is>
          <t>LOA</t>
        </is>
      </c>
      <c r="F1920" t="inlineStr">
        <is>
          <t>2026-02-09</t>
        </is>
      </c>
      <c r="G1920" s="4" t="n">
        <v>9188.84</v>
      </c>
      <c r="H1920" s="4">
        <f>MAX(0,G1920-SUMIFS('Paiements contrat'!$B:$B,'Paiements contrat'!$A:$A,A1920))</f>
        <v/>
      </c>
      <c r="I1920" s="4" t="n">
        <v>9056.960000000001</v>
      </c>
      <c r="J1920" t="inlineStr">
        <is>
          <t>actif</t>
        </is>
      </c>
    </row>
    <row r="1921">
      <c r="A1921" t="inlineStr">
        <is>
          <t>CTR-01959</t>
        </is>
      </c>
      <c r="B1921" t="inlineStr">
        <is>
          <t>CLI-01300</t>
        </is>
      </c>
      <c r="C1921" t="inlineStr">
        <is>
          <t>Île-de-France</t>
        </is>
      </c>
      <c r="D1921" t="inlineStr">
        <is>
          <t>auto</t>
        </is>
      </c>
      <c r="E1921" t="inlineStr">
        <is>
          <t>LOA</t>
        </is>
      </c>
      <c r="F1921" t="inlineStr">
        <is>
          <t>2024-12-11</t>
        </is>
      </c>
      <c r="G1921" s="4" t="n">
        <v>61956.14</v>
      </c>
      <c r="H1921" s="4">
        <f>MAX(0,G1921-SUMIFS('Paiements contrat'!$B:$B,'Paiements contrat'!$A:$A,A1921))</f>
        <v/>
      </c>
      <c r="I1921" s="4" t="n">
        <v>48501.48</v>
      </c>
      <c r="J1921" t="inlineStr">
        <is>
          <t>actif</t>
        </is>
      </c>
    </row>
    <row r="1922">
      <c r="A1922" t="inlineStr">
        <is>
          <t>CTR-01960</t>
        </is>
      </c>
      <c r="B1922" t="inlineStr">
        <is>
          <t>CLI-00704</t>
        </is>
      </c>
      <c r="C1922" t="inlineStr">
        <is>
          <t>Île-de-France</t>
        </is>
      </c>
      <c r="D1922" t="inlineStr">
        <is>
          <t>materiel</t>
        </is>
      </c>
      <c r="E1922" t="inlineStr">
        <is>
          <t>crédit-bail</t>
        </is>
      </c>
      <c r="F1922" t="inlineStr">
        <is>
          <t>2025-02-04</t>
        </is>
      </c>
      <c r="G1922" s="4" t="n">
        <v>58021.24</v>
      </c>
      <c r="H1922" s="4">
        <f>MAX(0,G1922-SUMIFS('Paiements contrat'!$B:$B,'Paiements contrat'!$A:$A,A1922))</f>
        <v/>
      </c>
      <c r="I1922" s="4" t="n">
        <v>30000.79</v>
      </c>
      <c r="J1922" t="inlineStr">
        <is>
          <t>actif</t>
        </is>
      </c>
    </row>
    <row r="1923">
      <c r="A1923" t="inlineStr">
        <is>
          <t>CTR-01961</t>
        </is>
      </c>
      <c r="B1923" t="inlineStr">
        <is>
          <t>CLI-00375</t>
        </is>
      </c>
      <c r="C1923" t="inlineStr">
        <is>
          <t>Martinique</t>
        </is>
      </c>
      <c r="D1923" t="inlineStr">
        <is>
          <t>auto</t>
        </is>
      </c>
      <c r="E1923" t="inlineStr">
        <is>
          <t>LOA</t>
        </is>
      </c>
      <c r="F1923" t="inlineStr">
        <is>
          <t>2024-10-06</t>
        </is>
      </c>
      <c r="G1923" s="4" t="n">
        <v>26607.68</v>
      </c>
      <c r="H1923" s="4">
        <f>MAX(0,G1923-SUMIFS('Paiements contrat'!$B:$B,'Paiements contrat'!$A:$A,A1923))</f>
        <v/>
      </c>
      <c r="I1923" s="4" t="n">
        <v>14340.82</v>
      </c>
      <c r="J1923" t="inlineStr">
        <is>
          <t>actif</t>
        </is>
      </c>
    </row>
    <row r="1924">
      <c r="A1924" t="inlineStr">
        <is>
          <t>CTR-01962</t>
        </is>
      </c>
      <c r="B1924" t="inlineStr">
        <is>
          <t>CLI-00988</t>
        </is>
      </c>
      <c r="C1924" t="inlineStr">
        <is>
          <t>Guadeloupe</t>
        </is>
      </c>
      <c r="D1924" t="inlineStr">
        <is>
          <t>auto</t>
        </is>
      </c>
      <c r="E1924" t="inlineStr">
        <is>
          <t>LLD</t>
        </is>
      </c>
      <c r="F1924" t="inlineStr">
        <is>
          <t>2024-07-12</t>
        </is>
      </c>
      <c r="G1924" s="4" t="n">
        <v>21155.94</v>
      </c>
      <c r="H1924" s="4">
        <f>MAX(0,G1924-SUMIFS('Paiements contrat'!$B:$B,'Paiements contrat'!$A:$A,A1924))</f>
        <v/>
      </c>
      <c r="I1924" s="4" t="n">
        <v>6296.429999999998</v>
      </c>
      <c r="J1924" t="inlineStr">
        <is>
          <t>actif</t>
        </is>
      </c>
    </row>
    <row r="1925">
      <c r="A1925" t="inlineStr">
        <is>
          <t>CTR-01963</t>
        </is>
      </c>
      <c r="B1925" t="inlineStr">
        <is>
          <t>CLI-01271</t>
        </is>
      </c>
      <c r="C1925" t="inlineStr">
        <is>
          <t>Île-de-France</t>
        </is>
      </c>
      <c r="D1925" t="inlineStr">
        <is>
          <t>materiel</t>
        </is>
      </c>
      <c r="E1925" t="inlineStr">
        <is>
          <t>crédit-bail</t>
        </is>
      </c>
      <c r="F1925" t="inlineStr">
        <is>
          <t>2025-11-26</t>
        </is>
      </c>
      <c r="G1925" s="4" t="n">
        <v>20282.25</v>
      </c>
      <c r="H1925" s="4">
        <f>MAX(0,G1925-SUMIFS('Paiements contrat'!$B:$B,'Paiements contrat'!$A:$A,A1925))</f>
        <v/>
      </c>
      <c r="I1925" s="4" t="n">
        <v>18260.48</v>
      </c>
      <c r="J1925" t="inlineStr">
        <is>
          <t>actif</t>
        </is>
      </c>
    </row>
    <row r="1926">
      <c r="A1926" t="inlineStr">
        <is>
          <t>CTR-01965</t>
        </is>
      </c>
      <c r="B1926" t="inlineStr">
        <is>
          <t>CLI-00859</t>
        </is>
      </c>
      <c r="C1926" t="inlineStr">
        <is>
          <t>Guadeloupe</t>
        </is>
      </c>
      <c r="D1926" t="inlineStr">
        <is>
          <t>auto</t>
        </is>
      </c>
      <c r="E1926" t="inlineStr">
        <is>
          <t>LOA</t>
        </is>
      </c>
      <c r="F1926" t="inlineStr">
        <is>
          <t>2025-09-16</t>
        </is>
      </c>
      <c r="G1926" s="4" t="n">
        <v>46856.72</v>
      </c>
      <c r="H1926" s="4">
        <f>MAX(0,G1926-SUMIFS('Paiements contrat'!$B:$B,'Paiements contrat'!$A:$A,A1926))</f>
        <v/>
      </c>
      <c r="I1926" s="4" t="n">
        <v>31448.7</v>
      </c>
      <c r="J1926" t="inlineStr">
        <is>
          <t>actif</t>
        </is>
      </c>
    </row>
    <row r="1927">
      <c r="A1927" t="inlineStr">
        <is>
          <t>CTR-01966</t>
        </is>
      </c>
      <c r="B1927" t="inlineStr">
        <is>
          <t>CLI-01038</t>
        </is>
      </c>
      <c r="C1927" t="inlineStr">
        <is>
          <t>Guadeloupe</t>
        </is>
      </c>
      <c r="D1927" t="inlineStr">
        <is>
          <t>auto</t>
        </is>
      </c>
      <c r="E1927" t="inlineStr">
        <is>
          <t>LLD</t>
        </is>
      </c>
      <c r="F1927" t="inlineStr">
        <is>
          <t>2026-02-23</t>
        </is>
      </c>
      <c r="G1927" s="4" t="n">
        <v>9645.690000000001</v>
      </c>
      <c r="H1927" s="4">
        <f>MAX(0,G1927-SUMIFS('Paiements contrat'!$B:$B,'Paiements contrat'!$A:$A,A1927))</f>
        <v/>
      </c>
      <c r="I1927" s="4" t="n">
        <v>9254.140000000001</v>
      </c>
      <c r="J1927" t="inlineStr">
        <is>
          <t>actif</t>
        </is>
      </c>
    </row>
    <row r="1928">
      <c r="A1928" t="inlineStr">
        <is>
          <t>CTR-01967</t>
        </is>
      </c>
      <c r="B1928" t="inlineStr">
        <is>
          <t>CLI-00031</t>
        </is>
      </c>
      <c r="C1928" t="inlineStr">
        <is>
          <t>Île-de-France</t>
        </is>
      </c>
      <c r="D1928" t="inlineStr">
        <is>
          <t>auto</t>
        </is>
      </c>
      <c r="E1928" t="inlineStr">
        <is>
          <t>LLD</t>
        </is>
      </c>
      <c r="F1928" t="inlineStr">
        <is>
          <t>2026-02-16</t>
        </is>
      </c>
      <c r="G1928" s="4" t="n">
        <v>15684.11</v>
      </c>
      <c r="H1928" s="4">
        <f>MAX(0,G1928-SUMIFS('Paiements contrat'!$B:$B,'Paiements contrat'!$A:$A,A1928))</f>
        <v/>
      </c>
      <c r="I1928" s="4" t="n">
        <v>15684.11</v>
      </c>
      <c r="J1928" t="inlineStr">
        <is>
          <t>actif</t>
        </is>
      </c>
    </row>
    <row r="1929">
      <c r="A1929" t="inlineStr">
        <is>
          <t>CTR-01968</t>
        </is>
      </c>
      <c r="B1929" t="inlineStr">
        <is>
          <t>CLI-00483</t>
        </is>
      </c>
      <c r="C1929" t="inlineStr">
        <is>
          <t>Guadeloupe</t>
        </is>
      </c>
      <c r="D1929" t="inlineStr">
        <is>
          <t>materiel</t>
        </is>
      </c>
      <c r="E1929" t="inlineStr">
        <is>
          <t>crédit-bail</t>
        </is>
      </c>
      <c r="F1929" t="inlineStr">
        <is>
          <t>2025-04-12</t>
        </is>
      </c>
      <c r="G1929" s="4" t="n">
        <v>49588.18</v>
      </c>
      <c r="H1929" s="4">
        <f>MAX(0,G1929-SUMIFS('Paiements contrat'!$B:$B,'Paiements contrat'!$A:$A,A1929))</f>
        <v/>
      </c>
      <c r="I1929" s="4" t="n">
        <v>37133.14611680831</v>
      </c>
      <c r="J1929" t="inlineStr">
        <is>
          <t>actif</t>
        </is>
      </c>
    </row>
    <row r="1930">
      <c r="A1930" t="inlineStr">
        <is>
          <t>CTR-01969</t>
        </is>
      </c>
      <c r="B1930" t="inlineStr">
        <is>
          <t>CLI-01223</t>
        </is>
      </c>
      <c r="C1930" t="inlineStr">
        <is>
          <t>Martinique</t>
        </is>
      </c>
      <c r="D1930" t="inlineStr">
        <is>
          <t>bateau</t>
        </is>
      </c>
      <c r="E1930" t="inlineStr">
        <is>
          <t>LOA</t>
        </is>
      </c>
      <c r="F1930" t="inlineStr">
        <is>
          <t>2025-10-05</t>
        </is>
      </c>
      <c r="G1930" s="4" t="n">
        <v>276870.24</v>
      </c>
      <c r="H1930" s="4">
        <f>MAX(0,G1930-SUMIFS('Paiements contrat'!$B:$B,'Paiements contrat'!$A:$A,A1930))</f>
        <v/>
      </c>
      <c r="I1930" s="4" t="n">
        <v>255134.32</v>
      </c>
      <c r="J1930" t="inlineStr">
        <is>
          <t>actif</t>
        </is>
      </c>
    </row>
    <row r="1931">
      <c r="A1931" t="inlineStr">
        <is>
          <t>CTR-01970</t>
        </is>
      </c>
      <c r="B1931" t="inlineStr">
        <is>
          <t>CLI-00184</t>
        </is>
      </c>
      <c r="C1931" t="inlineStr">
        <is>
          <t>Martinique</t>
        </is>
      </c>
      <c r="D1931" t="inlineStr">
        <is>
          <t>auto</t>
        </is>
      </c>
      <c r="E1931" t="inlineStr">
        <is>
          <t>LOA</t>
        </is>
      </c>
      <c r="F1931" t="inlineStr">
        <is>
          <t>2025-09-04</t>
        </is>
      </c>
      <c r="G1931" s="4" t="n">
        <v>36633.09</v>
      </c>
      <c r="H1931" s="4">
        <f>MAX(0,G1931-SUMIFS('Paiements contrat'!$B:$B,'Paiements contrat'!$A:$A,A1931))</f>
        <v/>
      </c>
      <c r="I1931" s="4" t="n">
        <v>30752.99</v>
      </c>
      <c r="J1931" t="inlineStr">
        <is>
          <t>actif</t>
        </is>
      </c>
    </row>
    <row r="1932">
      <c r="A1932" t="inlineStr">
        <is>
          <t>CTR-01971</t>
        </is>
      </c>
      <c r="B1932" t="inlineStr">
        <is>
          <t>CLI-00288</t>
        </is>
      </c>
      <c r="C1932" t="inlineStr">
        <is>
          <t>Martinique</t>
        </is>
      </c>
      <c r="D1932" t="inlineStr">
        <is>
          <t>auto</t>
        </is>
      </c>
      <c r="E1932" t="inlineStr">
        <is>
          <t>LLD</t>
        </is>
      </c>
      <c r="F1932" t="inlineStr">
        <is>
          <t>2024-06-07</t>
        </is>
      </c>
      <c r="G1932" s="4" t="n">
        <v>66676.98</v>
      </c>
      <c r="H1932" s="4">
        <f>MAX(0,G1932-SUMIFS('Paiements contrat'!$B:$B,'Paiements contrat'!$A:$A,A1932))</f>
        <v/>
      </c>
      <c r="I1932" s="4" t="n">
        <v>45714.28</v>
      </c>
      <c r="J1932" t="inlineStr">
        <is>
          <t>actif</t>
        </is>
      </c>
    </row>
    <row r="1933">
      <c r="A1933" t="inlineStr">
        <is>
          <t>CTR-01972</t>
        </is>
      </c>
      <c r="B1933" t="inlineStr">
        <is>
          <t>CLI-00839</t>
        </is>
      </c>
      <c r="C1933" t="inlineStr">
        <is>
          <t>Île-de-France</t>
        </is>
      </c>
      <c r="D1933" t="inlineStr">
        <is>
          <t>bateau</t>
        </is>
      </c>
      <c r="E1933" t="inlineStr">
        <is>
          <t>LOA</t>
        </is>
      </c>
      <c r="F1933" t="inlineStr">
        <is>
          <t>2025-11-05</t>
        </is>
      </c>
      <c r="G1933" s="4" t="n">
        <v>100861.44</v>
      </c>
      <c r="H1933" s="4">
        <f>MAX(0,G1933-SUMIFS('Paiements contrat'!$B:$B,'Paiements contrat'!$A:$A,A1933))</f>
        <v/>
      </c>
      <c r="I1933" s="4" t="n">
        <v>79179.58</v>
      </c>
      <c r="J1933" t="inlineStr">
        <is>
          <t>actif</t>
        </is>
      </c>
    </row>
    <row r="1934">
      <c r="A1934" t="inlineStr">
        <is>
          <t>CTR-01973</t>
        </is>
      </c>
      <c r="B1934" t="inlineStr">
        <is>
          <t>CLI-00806</t>
        </is>
      </c>
      <c r="C1934" t="inlineStr">
        <is>
          <t>Île-de-France</t>
        </is>
      </c>
      <c r="D1934" t="inlineStr">
        <is>
          <t>materiel</t>
        </is>
      </c>
      <c r="E1934" t="inlineStr">
        <is>
          <t>crédit-bail</t>
        </is>
      </c>
      <c r="F1934" t="inlineStr">
        <is>
          <t>2026-02-11</t>
        </is>
      </c>
      <c r="G1934" s="4" t="n">
        <v>40814.06</v>
      </c>
      <c r="H1934" s="4">
        <f>MAX(0,G1934-SUMIFS('Paiements contrat'!$B:$B,'Paiements contrat'!$A:$A,A1934))</f>
        <v/>
      </c>
      <c r="I1934" s="4" t="n">
        <v>39777.2</v>
      </c>
      <c r="J1934" t="inlineStr">
        <is>
          <t>actif</t>
        </is>
      </c>
    </row>
    <row r="1935">
      <c r="A1935" t="inlineStr">
        <is>
          <t>CTR-01974</t>
        </is>
      </c>
      <c r="B1935" t="inlineStr">
        <is>
          <t>CLI-01257</t>
        </is>
      </c>
      <c r="C1935" t="inlineStr">
        <is>
          <t>Martinique</t>
        </is>
      </c>
      <c r="D1935" t="inlineStr">
        <is>
          <t>auto</t>
        </is>
      </c>
      <c r="E1935" t="inlineStr">
        <is>
          <t>LOA</t>
        </is>
      </c>
      <c r="F1935" t="inlineStr">
        <is>
          <t>2025-03-21</t>
        </is>
      </c>
      <c r="G1935" s="4" t="n">
        <v>63615.09</v>
      </c>
      <c r="H1935" s="4">
        <f>MAX(0,G1935-SUMIFS('Paiements contrat'!$B:$B,'Paiements contrat'!$A:$A,A1935))</f>
        <v/>
      </c>
      <c r="I1935" s="4" t="n">
        <v>51777.19</v>
      </c>
      <c r="J1935" t="inlineStr">
        <is>
          <t>actif</t>
        </is>
      </c>
    </row>
    <row r="1936">
      <c r="A1936" t="inlineStr">
        <is>
          <t>CTR-01975</t>
        </is>
      </c>
      <c r="B1936" t="inlineStr">
        <is>
          <t>CLI-00259</t>
        </is>
      </c>
      <c r="C1936" t="inlineStr">
        <is>
          <t>Martinique</t>
        </is>
      </c>
      <c r="D1936" t="inlineStr">
        <is>
          <t>auto</t>
        </is>
      </c>
      <c r="E1936" t="inlineStr">
        <is>
          <t>LLD</t>
        </is>
      </c>
      <c r="F1936" t="inlineStr">
        <is>
          <t>2025-02-26</t>
        </is>
      </c>
      <c r="G1936" s="4" t="n">
        <v>57058.26</v>
      </c>
      <c r="H1936" s="4">
        <f>MAX(0,G1936-SUMIFS('Paiements contrat'!$B:$B,'Paiements contrat'!$A:$A,A1936))</f>
        <v/>
      </c>
      <c r="I1936" s="4" t="n">
        <v>44816.844085133</v>
      </c>
      <c r="J1936" t="inlineStr">
        <is>
          <t>actif</t>
        </is>
      </c>
    </row>
    <row r="1937">
      <c r="A1937" t="inlineStr">
        <is>
          <t>CTR-01976</t>
        </is>
      </c>
      <c r="B1937" t="inlineStr">
        <is>
          <t>CLI-00420</t>
        </is>
      </c>
      <c r="C1937" t="inlineStr">
        <is>
          <t>Île-de-France</t>
        </is>
      </c>
      <c r="D1937" t="inlineStr">
        <is>
          <t>auto</t>
        </is>
      </c>
      <c r="E1937" t="inlineStr">
        <is>
          <t>LOA</t>
        </is>
      </c>
      <c r="F1937" t="inlineStr">
        <is>
          <t>2025-09-01</t>
        </is>
      </c>
      <c r="G1937" s="4" t="n">
        <v>43612.78</v>
      </c>
      <c r="H1937" s="4">
        <f>MAX(0,G1937-SUMIFS('Paiements contrat'!$B:$B,'Paiements contrat'!$A:$A,A1937))</f>
        <v/>
      </c>
      <c r="I1937" s="4" t="n">
        <v>34758.73</v>
      </c>
      <c r="J1937" t="inlineStr">
        <is>
          <t>actif</t>
        </is>
      </c>
    </row>
    <row r="1938">
      <c r="A1938" t="inlineStr">
        <is>
          <t>CTR-01977</t>
        </is>
      </c>
      <c r="B1938" t="inlineStr">
        <is>
          <t>CLI-00935</t>
        </is>
      </c>
      <c r="C1938" t="inlineStr">
        <is>
          <t>Guadeloupe</t>
        </is>
      </c>
      <c r="D1938" t="inlineStr">
        <is>
          <t>auto</t>
        </is>
      </c>
      <c r="E1938" t="inlineStr">
        <is>
          <t>LLD</t>
        </is>
      </c>
      <c r="F1938" t="inlineStr">
        <is>
          <t>2024-10-03</t>
        </is>
      </c>
      <c r="G1938" s="4" t="n">
        <v>69627.39</v>
      </c>
      <c r="H1938" s="4">
        <f>MAX(0,G1938-SUMIFS('Paiements contrat'!$B:$B,'Paiements contrat'!$A:$A,A1938))</f>
        <v/>
      </c>
      <c r="I1938" s="4" t="n">
        <v>6018.976049271405</v>
      </c>
      <c r="J1938" t="inlineStr">
        <is>
          <t>actif</t>
        </is>
      </c>
    </row>
    <row r="1939">
      <c r="A1939" t="inlineStr">
        <is>
          <t>CTR-01978</t>
        </is>
      </c>
      <c r="B1939" t="inlineStr">
        <is>
          <t>CLI-01092</t>
        </is>
      </c>
      <c r="C1939" t="inlineStr">
        <is>
          <t>Île-de-France</t>
        </is>
      </c>
      <c r="D1939" t="inlineStr">
        <is>
          <t>auto</t>
        </is>
      </c>
      <c r="E1939" t="inlineStr">
        <is>
          <t>LOA</t>
        </is>
      </c>
      <c r="F1939" t="inlineStr">
        <is>
          <t>2024-10-18</t>
        </is>
      </c>
      <c r="G1939" s="4" t="n">
        <v>46682.38</v>
      </c>
      <c r="H1939" s="4">
        <f>MAX(0,G1939-SUMIFS('Paiements contrat'!$B:$B,'Paiements contrat'!$A:$A,A1939))</f>
        <v/>
      </c>
      <c r="I1939" s="4" t="n">
        <v>30200.69629598066</v>
      </c>
      <c r="J1939" t="inlineStr">
        <is>
          <t>actif</t>
        </is>
      </c>
    </row>
    <row r="1940">
      <c r="A1940" t="inlineStr">
        <is>
          <t>CTR-01979</t>
        </is>
      </c>
      <c r="B1940" t="inlineStr">
        <is>
          <t>CLI-01440</t>
        </is>
      </c>
      <c r="C1940" t="inlineStr">
        <is>
          <t>Guadeloupe</t>
        </is>
      </c>
      <c r="D1940" t="inlineStr">
        <is>
          <t>bateau</t>
        </is>
      </c>
      <c r="E1940" t="inlineStr">
        <is>
          <t>LOA</t>
        </is>
      </c>
      <c r="F1940" t="inlineStr">
        <is>
          <t>2025-04-15</t>
        </is>
      </c>
      <c r="G1940" s="4" t="n">
        <v>232618.32</v>
      </c>
      <c r="H1940" s="4">
        <f>MAX(0,G1940-SUMIFS('Paiements contrat'!$B:$B,'Paiements contrat'!$A:$A,A1940))</f>
        <v/>
      </c>
      <c r="I1940" s="4" t="n">
        <v>172644.02</v>
      </c>
      <c r="J1940" t="inlineStr">
        <is>
          <t>actif</t>
        </is>
      </c>
    </row>
    <row r="1941">
      <c r="A1941" t="inlineStr">
        <is>
          <t>CTR-01980</t>
        </is>
      </c>
      <c r="B1941" t="inlineStr">
        <is>
          <t>CLI-01110</t>
        </is>
      </c>
      <c r="C1941" t="inlineStr">
        <is>
          <t>Île-de-France</t>
        </is>
      </c>
      <c r="D1941" t="inlineStr">
        <is>
          <t>auto</t>
        </is>
      </c>
      <c r="E1941" t="inlineStr">
        <is>
          <t>LLD</t>
        </is>
      </c>
      <c r="F1941" t="inlineStr">
        <is>
          <t>2024-05-19</t>
        </is>
      </c>
      <c r="G1941" s="4" t="n">
        <v>60585.2</v>
      </c>
      <c r="H1941" s="4">
        <f>MAX(0,G1941-SUMIFS('Paiements contrat'!$B:$B,'Paiements contrat'!$A:$A,A1941))</f>
        <v/>
      </c>
      <c r="I1941" s="4" t="n">
        <v>40755.74</v>
      </c>
      <c r="J1941" t="inlineStr">
        <is>
          <t>actif</t>
        </is>
      </c>
    </row>
    <row r="1942">
      <c r="A1942" t="inlineStr">
        <is>
          <t>CTR-01981</t>
        </is>
      </c>
      <c r="B1942" t="inlineStr">
        <is>
          <t>CLI-00858</t>
        </is>
      </c>
      <c r="C1942" t="inlineStr">
        <is>
          <t>Réunion</t>
        </is>
      </c>
      <c r="D1942" t="inlineStr">
        <is>
          <t>auto</t>
        </is>
      </c>
      <c r="E1942" t="inlineStr">
        <is>
          <t>LLD</t>
        </is>
      </c>
      <c r="F1942" t="inlineStr">
        <is>
          <t>2025-05-27</t>
        </is>
      </c>
      <c r="G1942" s="4" t="n">
        <v>32102.72</v>
      </c>
      <c r="H1942" s="4">
        <f>MAX(0,G1942-SUMIFS('Paiements contrat'!$B:$B,'Paiements contrat'!$A:$A,A1942))</f>
        <v/>
      </c>
      <c r="I1942" s="4" t="n">
        <v>21849.29</v>
      </c>
      <c r="J1942" t="inlineStr">
        <is>
          <t>actif</t>
        </is>
      </c>
    </row>
    <row r="1943">
      <c r="A1943" t="inlineStr">
        <is>
          <t>CTR-01982</t>
        </is>
      </c>
      <c r="B1943" t="inlineStr">
        <is>
          <t>CLI-01160</t>
        </is>
      </c>
      <c r="C1943" t="inlineStr">
        <is>
          <t>Réunion</t>
        </is>
      </c>
      <c r="D1943" t="inlineStr">
        <is>
          <t>auto</t>
        </is>
      </c>
      <c r="E1943" t="inlineStr">
        <is>
          <t>LOA</t>
        </is>
      </c>
      <c r="F1943" t="inlineStr">
        <is>
          <t>2025-05-06</t>
        </is>
      </c>
      <c r="G1943" s="4" t="n">
        <v>25061.26</v>
      </c>
      <c r="H1943" s="4">
        <f>MAX(0,G1943-SUMIFS('Paiements contrat'!$B:$B,'Paiements contrat'!$A:$A,A1943))</f>
        <v/>
      </c>
      <c r="I1943" s="4" t="n">
        <v>12111.82447642038</v>
      </c>
      <c r="J1943" t="inlineStr">
        <is>
          <t>actif</t>
        </is>
      </c>
    </row>
    <row r="1944">
      <c r="A1944" t="inlineStr">
        <is>
          <t>CTR-01983</t>
        </is>
      </c>
      <c r="B1944" t="inlineStr">
        <is>
          <t>CLI-01195</t>
        </is>
      </c>
      <c r="C1944" t="inlineStr">
        <is>
          <t>Île-de-France</t>
        </is>
      </c>
      <c r="D1944" t="inlineStr">
        <is>
          <t>bateau</t>
        </is>
      </c>
      <c r="E1944" t="inlineStr">
        <is>
          <t>LOA</t>
        </is>
      </c>
      <c r="F1944" t="inlineStr">
        <is>
          <t>2024-08-26</t>
        </is>
      </c>
      <c r="G1944" s="4" t="n">
        <v>215012.84</v>
      </c>
      <c r="H1944" s="4">
        <f>MAX(0,G1944-SUMIFS('Paiements contrat'!$B:$B,'Paiements contrat'!$A:$A,A1944))</f>
        <v/>
      </c>
      <c r="I1944" s="4" t="n">
        <v>70964.16449749921</v>
      </c>
      <c r="J1944" t="inlineStr">
        <is>
          <t>actif</t>
        </is>
      </c>
    </row>
    <row r="1945">
      <c r="A1945" t="inlineStr">
        <is>
          <t>CTR-01984</t>
        </is>
      </c>
      <c r="B1945" t="inlineStr">
        <is>
          <t>CLI-00662</t>
        </is>
      </c>
      <c r="C1945" t="inlineStr">
        <is>
          <t>Guadeloupe</t>
        </is>
      </c>
      <c r="D1945" t="inlineStr">
        <is>
          <t>auto</t>
        </is>
      </c>
      <c r="E1945" t="inlineStr">
        <is>
          <t>LOA</t>
        </is>
      </c>
      <c r="F1945" t="inlineStr">
        <is>
          <t>2025-06-09</t>
        </is>
      </c>
      <c r="G1945" s="4" t="n">
        <v>16265.93</v>
      </c>
      <c r="H1945" s="4">
        <f>MAX(0,G1945-SUMIFS('Paiements contrat'!$B:$B,'Paiements contrat'!$A:$A,A1945))</f>
        <v/>
      </c>
      <c r="I1945" s="4" t="n">
        <v>14156.37</v>
      </c>
      <c r="J1945" t="inlineStr">
        <is>
          <t>contentieux</t>
        </is>
      </c>
    </row>
    <row r="1946">
      <c r="A1946" t="inlineStr">
        <is>
          <t>CTR-01985</t>
        </is>
      </c>
      <c r="B1946" t="inlineStr">
        <is>
          <t>CLI-00347</t>
        </is>
      </c>
      <c r="C1946" t="inlineStr">
        <is>
          <t>Île-de-France</t>
        </is>
      </c>
      <c r="D1946" t="inlineStr">
        <is>
          <t>auto</t>
        </is>
      </c>
      <c r="E1946" t="inlineStr">
        <is>
          <t>LOA</t>
        </is>
      </c>
      <c r="F1946" t="inlineStr">
        <is>
          <t>2024-09-19</t>
        </is>
      </c>
      <c r="G1946" s="4" t="n">
        <v>48098.43</v>
      </c>
      <c r="H1946" s="4">
        <f>MAX(0,G1946-SUMIFS('Paiements contrat'!$B:$B,'Paiements contrat'!$A:$A,A1946))</f>
        <v/>
      </c>
      <c r="I1946" s="4" t="n">
        <v>21962.3</v>
      </c>
      <c r="J1946" t="inlineStr">
        <is>
          <t>actif</t>
        </is>
      </c>
    </row>
    <row r="1947">
      <c r="A1947" t="inlineStr">
        <is>
          <t>CTR-01986</t>
        </is>
      </c>
      <c r="B1947" t="inlineStr">
        <is>
          <t>CLI-00382</t>
        </is>
      </c>
      <c r="C1947" t="inlineStr">
        <is>
          <t>Île-de-France</t>
        </is>
      </c>
      <c r="D1947" t="inlineStr">
        <is>
          <t>auto</t>
        </is>
      </c>
      <c r="E1947" t="inlineStr">
        <is>
          <t>LOA</t>
        </is>
      </c>
      <c r="F1947" t="inlineStr">
        <is>
          <t>2025-07-05</t>
        </is>
      </c>
      <c r="G1947" s="4" t="n">
        <v>54427.62</v>
      </c>
      <c r="H1947" s="4">
        <f>MAX(0,G1947-SUMIFS('Paiements contrat'!$B:$B,'Paiements contrat'!$A:$A,A1947))</f>
        <v/>
      </c>
      <c r="I1947" s="4" t="n">
        <v>47553.76</v>
      </c>
      <c r="J1947" t="inlineStr">
        <is>
          <t>actif</t>
        </is>
      </c>
    </row>
    <row r="1948">
      <c r="A1948" t="inlineStr">
        <is>
          <t>CTR-01987</t>
        </is>
      </c>
      <c r="B1948" t="inlineStr">
        <is>
          <t>CLI-00962</t>
        </is>
      </c>
      <c r="C1948" t="inlineStr">
        <is>
          <t>Île-de-France</t>
        </is>
      </c>
      <c r="D1948" t="inlineStr">
        <is>
          <t>auto</t>
        </is>
      </c>
      <c r="E1948" t="inlineStr">
        <is>
          <t>LOA</t>
        </is>
      </c>
      <c r="F1948" t="inlineStr">
        <is>
          <t>2024-08-18</t>
        </is>
      </c>
      <c r="G1948" s="4" t="n">
        <v>9196.24</v>
      </c>
      <c r="H1948" s="4">
        <f>MAX(0,G1948-SUMIFS('Paiements contrat'!$B:$B,'Paiements contrat'!$A:$A,A1948))</f>
        <v/>
      </c>
      <c r="I1948" s="4" t="n">
        <v>4922.562581320675</v>
      </c>
      <c r="J1948" t="inlineStr">
        <is>
          <t>actif</t>
        </is>
      </c>
    </row>
    <row r="1949">
      <c r="A1949" t="inlineStr">
        <is>
          <t>CTR-01988</t>
        </is>
      </c>
      <c r="B1949" t="inlineStr">
        <is>
          <t>CLI-00534</t>
        </is>
      </c>
      <c r="C1949" t="inlineStr">
        <is>
          <t>Réunion</t>
        </is>
      </c>
      <c r="D1949" t="inlineStr">
        <is>
          <t>materiel</t>
        </is>
      </c>
      <c r="E1949" t="inlineStr">
        <is>
          <t>crédit-bail</t>
        </is>
      </c>
      <c r="F1949" t="inlineStr">
        <is>
          <t>2025-05-07</t>
        </is>
      </c>
      <c r="G1949" s="4" t="n">
        <v>106979.71</v>
      </c>
      <c r="H1949" s="4">
        <f>MAX(0,G1949-SUMIFS('Paiements contrat'!$B:$B,'Paiements contrat'!$A:$A,A1949))</f>
        <v/>
      </c>
      <c r="I1949" s="4" t="n">
        <v>76164.66</v>
      </c>
      <c r="J1949" t="inlineStr">
        <is>
          <t>actif</t>
        </is>
      </c>
    </row>
    <row r="1950">
      <c r="A1950" t="inlineStr">
        <is>
          <t>CTR-01989</t>
        </is>
      </c>
      <c r="B1950" t="inlineStr">
        <is>
          <t>CLI-00894</t>
        </is>
      </c>
      <c r="C1950" t="inlineStr">
        <is>
          <t>Île-de-France</t>
        </is>
      </c>
      <c r="D1950" t="inlineStr">
        <is>
          <t>auto</t>
        </is>
      </c>
      <c r="E1950" t="inlineStr">
        <is>
          <t>LOA</t>
        </is>
      </c>
      <c r="F1950" t="inlineStr">
        <is>
          <t>2025-06-06</t>
        </is>
      </c>
      <c r="G1950" s="4" t="n">
        <v>53060.42</v>
      </c>
      <c r="H1950" s="4">
        <f>MAX(0,G1950-SUMIFS('Paiements contrat'!$B:$B,'Paiements contrat'!$A:$A,A1950))</f>
        <v/>
      </c>
      <c r="I1950" s="4" t="n">
        <v>38039.82</v>
      </c>
      <c r="J1950" t="inlineStr">
        <is>
          <t>actif</t>
        </is>
      </c>
    </row>
    <row r="1951">
      <c r="A1951" t="inlineStr">
        <is>
          <t>CTR-01990</t>
        </is>
      </c>
      <c r="B1951" t="inlineStr">
        <is>
          <t>CLI-00566</t>
        </is>
      </c>
      <c r="C1951" t="inlineStr">
        <is>
          <t>Île-de-France</t>
        </is>
      </c>
      <c r="D1951" t="inlineStr">
        <is>
          <t>materiel</t>
        </is>
      </c>
      <c r="E1951" t="inlineStr">
        <is>
          <t>crédit-bail</t>
        </is>
      </c>
      <c r="F1951" t="inlineStr">
        <is>
          <t>2024-12-27</t>
        </is>
      </c>
      <c r="G1951" s="4" t="n">
        <v>49867.13</v>
      </c>
      <c r="H1951" s="4">
        <f>MAX(0,G1951-SUMIFS('Paiements contrat'!$B:$B,'Paiements contrat'!$A:$A,A1951))</f>
        <v/>
      </c>
      <c r="I1951" s="4" t="n">
        <v>38942.28</v>
      </c>
      <c r="J1951" t="inlineStr">
        <is>
          <t>actif</t>
        </is>
      </c>
    </row>
    <row r="1952">
      <c r="A1952" t="inlineStr">
        <is>
          <t>CTR-01991</t>
        </is>
      </c>
      <c r="B1952" t="inlineStr">
        <is>
          <t>CLI-01168</t>
        </is>
      </c>
      <c r="C1952" t="inlineStr">
        <is>
          <t>Guadeloupe</t>
        </is>
      </c>
      <c r="D1952" t="inlineStr">
        <is>
          <t>bateau</t>
        </is>
      </c>
      <c r="E1952" t="inlineStr">
        <is>
          <t>LOA</t>
        </is>
      </c>
      <c r="F1952" t="inlineStr">
        <is>
          <t>2025-04-21</t>
        </is>
      </c>
      <c r="G1952" s="4" t="n">
        <v>63490.32</v>
      </c>
      <c r="H1952" s="4">
        <f>MAX(0,G1952-SUMIFS('Paiements contrat'!$B:$B,'Paiements contrat'!$A:$A,A1952))</f>
        <v/>
      </c>
      <c r="I1952" s="4" t="n">
        <v>37539.59</v>
      </c>
      <c r="J1952" t="inlineStr">
        <is>
          <t>actif</t>
        </is>
      </c>
    </row>
    <row r="1953">
      <c r="A1953" t="inlineStr">
        <is>
          <t>CTR-01992</t>
        </is>
      </c>
      <c r="B1953" t="inlineStr">
        <is>
          <t>CLI-00321</t>
        </is>
      </c>
      <c r="C1953" t="inlineStr">
        <is>
          <t>Guadeloupe</t>
        </is>
      </c>
      <c r="D1953" t="inlineStr">
        <is>
          <t>auto</t>
        </is>
      </c>
      <c r="E1953" t="inlineStr">
        <is>
          <t>LOA</t>
        </is>
      </c>
      <c r="F1953" t="inlineStr">
        <is>
          <t>2024-06-02</t>
        </is>
      </c>
      <c r="G1953" s="4" t="n">
        <v>16216.7</v>
      </c>
      <c r="H1953" s="4">
        <f>MAX(0,G1953-SUMIFS('Paiements contrat'!$B:$B,'Paiements contrat'!$A:$A,A1953))</f>
        <v/>
      </c>
      <c r="I1953" s="4" t="n">
        <v>5922.358944801028</v>
      </c>
      <c r="J1953" t="inlineStr">
        <is>
          <t>actif</t>
        </is>
      </c>
    </row>
    <row r="1954">
      <c r="A1954" t="inlineStr">
        <is>
          <t>CTR-01993</t>
        </is>
      </c>
      <c r="B1954" t="inlineStr">
        <is>
          <t>CLI-01152</t>
        </is>
      </c>
      <c r="C1954" t="inlineStr">
        <is>
          <t>Île-de-France</t>
        </is>
      </c>
      <c r="D1954" t="inlineStr">
        <is>
          <t>auto</t>
        </is>
      </c>
      <c r="E1954" t="inlineStr">
        <is>
          <t>LLD</t>
        </is>
      </c>
      <c r="F1954" t="inlineStr">
        <is>
          <t>2024-04-25</t>
        </is>
      </c>
      <c r="G1954" s="4" t="n">
        <v>31364.69</v>
      </c>
      <c r="H1954" s="4">
        <f>MAX(0,G1954-SUMIFS('Paiements contrat'!$B:$B,'Paiements contrat'!$A:$A,A1954))</f>
        <v/>
      </c>
      <c r="I1954" s="4" t="n">
        <v>12088.71175589139</v>
      </c>
      <c r="J1954" t="inlineStr">
        <is>
          <t>actif</t>
        </is>
      </c>
    </row>
    <row r="1955">
      <c r="A1955" t="inlineStr">
        <is>
          <t>CTR-01994</t>
        </is>
      </c>
      <c r="B1955" t="inlineStr">
        <is>
          <t>CLI-00469</t>
        </is>
      </c>
      <c r="C1955" t="inlineStr">
        <is>
          <t>Île-de-France</t>
        </is>
      </c>
      <c r="D1955" t="inlineStr">
        <is>
          <t>auto</t>
        </is>
      </c>
      <c r="E1955" t="inlineStr">
        <is>
          <t>LOA</t>
        </is>
      </c>
      <c r="F1955" t="inlineStr">
        <is>
          <t>2025-12-04</t>
        </is>
      </c>
      <c r="G1955" s="4" t="n">
        <v>67882.57000000001</v>
      </c>
      <c r="H1955" s="4">
        <f>MAX(0,G1955-SUMIFS('Paiements contrat'!$B:$B,'Paiements contrat'!$A:$A,A1955))</f>
        <v/>
      </c>
      <c r="I1955" s="4" t="n">
        <v>61021.91654279903</v>
      </c>
      <c r="J1955" t="inlineStr">
        <is>
          <t>actif</t>
        </is>
      </c>
    </row>
    <row r="1956">
      <c r="A1956" t="inlineStr">
        <is>
          <t>CTR-01995</t>
        </is>
      </c>
      <c r="B1956" t="inlineStr">
        <is>
          <t>CLI-01305</t>
        </is>
      </c>
      <c r="C1956" t="inlineStr">
        <is>
          <t>Île-de-France</t>
        </is>
      </c>
      <c r="D1956" t="inlineStr">
        <is>
          <t>auto</t>
        </is>
      </c>
      <c r="E1956" t="inlineStr">
        <is>
          <t>LOA</t>
        </is>
      </c>
      <c r="F1956" t="inlineStr">
        <is>
          <t>2025-08-25</t>
        </is>
      </c>
      <c r="G1956" s="4" t="n">
        <v>28079.52</v>
      </c>
      <c r="H1956" s="4">
        <f>MAX(0,G1956-SUMIFS('Paiements contrat'!$B:$B,'Paiements contrat'!$A:$A,A1956))</f>
        <v/>
      </c>
      <c r="I1956" s="4" t="n">
        <v>19086.22</v>
      </c>
      <c r="J1956" t="inlineStr">
        <is>
          <t>actif</t>
        </is>
      </c>
    </row>
    <row r="1957">
      <c r="A1957" t="inlineStr">
        <is>
          <t>CTR-01996</t>
        </is>
      </c>
      <c r="B1957" t="inlineStr">
        <is>
          <t>CLI-01034</t>
        </is>
      </c>
      <c r="C1957" t="inlineStr">
        <is>
          <t>Île-de-France</t>
        </is>
      </c>
      <c r="D1957" t="inlineStr">
        <is>
          <t>auto</t>
        </is>
      </c>
      <c r="E1957" t="inlineStr">
        <is>
          <t>LLD</t>
        </is>
      </c>
      <c r="F1957" t="inlineStr">
        <is>
          <t>2025-01-15</t>
        </is>
      </c>
      <c r="G1957" s="4" t="n">
        <v>25852.54</v>
      </c>
      <c r="H1957" s="4">
        <f>MAX(0,G1957-SUMIFS('Paiements contrat'!$B:$B,'Paiements contrat'!$A:$A,A1957))</f>
        <v/>
      </c>
      <c r="I1957" s="4" t="n">
        <v>7405.459999999999</v>
      </c>
      <c r="J1957" t="inlineStr">
        <is>
          <t>actif</t>
        </is>
      </c>
    </row>
    <row r="1958">
      <c r="A1958" t="inlineStr">
        <is>
          <t>CTR-01997</t>
        </is>
      </c>
      <c r="B1958" t="inlineStr">
        <is>
          <t>CLI-00185</t>
        </is>
      </c>
      <c r="C1958" t="inlineStr">
        <is>
          <t>Île-de-France</t>
        </is>
      </c>
      <c r="D1958" t="inlineStr">
        <is>
          <t>auto</t>
        </is>
      </c>
      <c r="E1958" t="inlineStr">
        <is>
          <t>LLD</t>
        </is>
      </c>
      <c r="F1958" t="inlineStr">
        <is>
          <t>2026-02-06</t>
        </is>
      </c>
      <c r="G1958" s="4" t="n">
        <v>42100.29</v>
      </c>
      <c r="H1958" s="4">
        <f>MAX(0,G1958-SUMIFS('Paiements contrat'!$B:$B,'Paiements contrat'!$A:$A,A1958))</f>
        <v/>
      </c>
      <c r="I1958" s="4" t="n">
        <v>40392.51</v>
      </c>
      <c r="J1958" t="inlineStr">
        <is>
          <t>actif</t>
        </is>
      </c>
    </row>
    <row r="1959">
      <c r="A1959" t="inlineStr">
        <is>
          <t>CTR-01998</t>
        </is>
      </c>
      <c r="B1959" t="inlineStr">
        <is>
          <t>CLI-00467</t>
        </is>
      </c>
      <c r="C1959" t="inlineStr">
        <is>
          <t>Martinique</t>
        </is>
      </c>
      <c r="D1959" t="inlineStr">
        <is>
          <t>auto</t>
        </is>
      </c>
      <c r="E1959" t="inlineStr">
        <is>
          <t>LLD</t>
        </is>
      </c>
      <c r="F1959" t="inlineStr">
        <is>
          <t>2025-04-21</t>
        </is>
      </c>
      <c r="G1959" s="4" t="n">
        <v>64287.87</v>
      </c>
      <c r="H1959" s="4">
        <f>MAX(0,G1959-SUMIFS('Paiements contrat'!$B:$B,'Paiements contrat'!$A:$A,A1959))</f>
        <v/>
      </c>
      <c r="I1959" s="4" t="n">
        <v>47696.98</v>
      </c>
      <c r="J1959" t="inlineStr">
        <is>
          <t>actif</t>
        </is>
      </c>
    </row>
    <row r="1960">
      <c r="A1960" t="inlineStr">
        <is>
          <t>CTR-01999</t>
        </is>
      </c>
      <c r="B1960" t="inlineStr">
        <is>
          <t>CLI-01213</t>
        </is>
      </c>
      <c r="C1960" t="inlineStr">
        <is>
          <t>Guyane</t>
        </is>
      </c>
      <c r="D1960" t="inlineStr">
        <is>
          <t>auto</t>
        </is>
      </c>
      <c r="E1960" t="inlineStr">
        <is>
          <t>LOA</t>
        </is>
      </c>
      <c r="F1960" t="inlineStr">
        <is>
          <t>2025-09-20</t>
        </is>
      </c>
      <c r="G1960" s="4" t="n">
        <v>16598.23</v>
      </c>
      <c r="H1960" s="4">
        <f>MAX(0,G1960-SUMIFS('Paiements contrat'!$B:$B,'Paiements contrat'!$A:$A,A1960))</f>
        <v/>
      </c>
      <c r="I1960" s="4" t="n">
        <v>12574.57</v>
      </c>
      <c r="J1960" t="inlineStr">
        <is>
          <t>actif</t>
        </is>
      </c>
    </row>
    <row r="1961">
      <c r="A1961" t="inlineStr">
        <is>
          <t>CTR-02000</t>
        </is>
      </c>
      <c r="B1961" t="inlineStr">
        <is>
          <t>CLI-00505</t>
        </is>
      </c>
      <c r="C1961" t="inlineStr">
        <is>
          <t>Martinique</t>
        </is>
      </c>
      <c r="D1961" t="inlineStr">
        <is>
          <t>materiel</t>
        </is>
      </c>
      <c r="E1961" t="inlineStr">
        <is>
          <t>crédit-bail</t>
        </is>
      </c>
      <c r="F1961" t="inlineStr">
        <is>
          <t>2025-01-05</t>
        </is>
      </c>
      <c r="G1961" s="4" t="n">
        <v>104702</v>
      </c>
      <c r="H1961" s="4">
        <f>MAX(0,G1961-SUMIFS('Paiements contrat'!$B:$B,'Paiements contrat'!$A:$A,A1961))</f>
        <v/>
      </c>
      <c r="I1961" s="4" t="n">
        <v>8734.850000000006</v>
      </c>
      <c r="J1961" t="inlineStr">
        <is>
          <t>soldé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 ht="28" customHeight="1">
      <c r="A1" s="2" t="inlineStr">
        <is>
          <t>contrat_id</t>
        </is>
      </c>
      <c r="B1" s="2" t="inlineStr">
        <is>
          <t>paiements_cumules</t>
        </is>
      </c>
    </row>
    <row r="2">
      <c r="A2" t="inlineStr">
        <is>
          <t>CTR-00001</t>
        </is>
      </c>
      <c r="B2" t="n">
        <v>23186.81</v>
      </c>
    </row>
    <row r="3">
      <c r="A3" t="inlineStr">
        <is>
          <t>CTR-00003</t>
        </is>
      </c>
      <c r="B3" t="n">
        <v>65897.37</v>
      </c>
    </row>
    <row r="4">
      <c r="A4" t="inlineStr">
        <is>
          <t>CTR-00005</t>
        </is>
      </c>
      <c r="B4" t="n">
        <v>44240.44</v>
      </c>
    </row>
    <row r="5">
      <c r="A5" t="inlineStr">
        <is>
          <t>CTR-00006</t>
        </is>
      </c>
      <c r="B5" t="n">
        <v>16769.61</v>
      </c>
    </row>
    <row r="6">
      <c r="A6" t="inlineStr">
        <is>
          <t>CTR-00007</t>
        </is>
      </c>
      <c r="B6" t="n">
        <v>8980.959999999999</v>
      </c>
    </row>
    <row r="7">
      <c r="A7" t="inlineStr">
        <is>
          <t>CTR-00008</t>
        </is>
      </c>
      <c r="B7" t="n">
        <v>5287.150000000001</v>
      </c>
    </row>
    <row r="8">
      <c r="A8" t="inlineStr">
        <is>
          <t>CTR-00009</t>
        </is>
      </c>
      <c r="B8" t="n">
        <v>11494.14</v>
      </c>
    </row>
    <row r="9">
      <c r="A9" t="inlineStr">
        <is>
          <t>CTR-00010</t>
        </is>
      </c>
      <c r="B9" t="n">
        <v>24982.2</v>
      </c>
    </row>
    <row r="10">
      <c r="A10" t="inlineStr">
        <is>
          <t>CTR-00011</t>
        </is>
      </c>
      <c r="B10" t="n">
        <v>30725.73</v>
      </c>
    </row>
    <row r="11">
      <c r="A11" t="inlineStr">
        <is>
          <t>CTR-00012</t>
        </is>
      </c>
      <c r="B11" t="n">
        <v>9362.530000000001</v>
      </c>
    </row>
    <row r="12">
      <c r="A12" t="inlineStr">
        <is>
          <t>CTR-00013</t>
        </is>
      </c>
      <c r="B12" t="n">
        <v>16951.98</v>
      </c>
    </row>
    <row r="13">
      <c r="A13" t="inlineStr">
        <is>
          <t>CTR-00014</t>
        </is>
      </c>
      <c r="B13" t="n">
        <v>14978.64</v>
      </c>
    </row>
    <row r="14">
      <c r="A14" t="inlineStr">
        <is>
          <t>CTR-00015</t>
        </is>
      </c>
      <c r="B14" t="n">
        <v>58512.66</v>
      </c>
    </row>
    <row r="15">
      <c r="A15" t="inlineStr">
        <is>
          <t>CTR-00016</t>
        </is>
      </c>
      <c r="B15" t="n">
        <v>13921.92</v>
      </c>
    </row>
    <row r="16">
      <c r="A16" t="inlineStr">
        <is>
          <t>CTR-00017</t>
        </is>
      </c>
      <c r="B16" t="n">
        <v>6602.039999999999</v>
      </c>
    </row>
    <row r="17">
      <c r="A17" t="inlineStr">
        <is>
          <t>CTR-00018</t>
        </is>
      </c>
      <c r="B17" t="n">
        <v>11244.02</v>
      </c>
    </row>
    <row r="18">
      <c r="A18" t="inlineStr">
        <is>
          <t>CTR-00020</t>
        </is>
      </c>
      <c r="B18" t="n">
        <v>3281.88</v>
      </c>
    </row>
    <row r="19">
      <c r="A19" t="inlineStr">
        <is>
          <t>CTR-00021</t>
        </is>
      </c>
      <c r="B19" t="n">
        <v>782.4299999999999</v>
      </c>
    </row>
    <row r="20">
      <c r="A20" t="inlineStr">
        <is>
          <t>CTR-00022</t>
        </is>
      </c>
      <c r="B20" t="n">
        <v>3110.4</v>
      </c>
    </row>
    <row r="21">
      <c r="A21" t="inlineStr">
        <is>
          <t>CTR-00023</t>
        </is>
      </c>
      <c r="B21" t="n">
        <v>160360.92</v>
      </c>
    </row>
    <row r="22">
      <c r="A22" t="inlineStr">
        <is>
          <t>CTR-00024</t>
        </is>
      </c>
      <c r="B22" t="n">
        <v>22077.12</v>
      </c>
    </row>
    <row r="23">
      <c r="A23" t="inlineStr">
        <is>
          <t>CTR-00025</t>
        </is>
      </c>
      <c r="B23" t="n">
        <v>20409.01</v>
      </c>
    </row>
    <row r="24">
      <c r="A24" t="inlineStr">
        <is>
          <t>CTR-00026</t>
        </is>
      </c>
      <c r="B24" t="n">
        <v>6736.59</v>
      </c>
    </row>
    <row r="25">
      <c r="A25" t="inlineStr">
        <is>
          <t>CTR-00027</t>
        </is>
      </c>
      <c r="B25" t="n">
        <v>5603.79</v>
      </c>
    </row>
    <row r="26">
      <c r="A26" t="inlineStr">
        <is>
          <t>CTR-00028</t>
        </is>
      </c>
      <c r="B26" t="n">
        <v>14165.05</v>
      </c>
    </row>
    <row r="27">
      <c r="A27" t="inlineStr">
        <is>
          <t>CTR-00029</t>
        </is>
      </c>
      <c r="B27" t="n">
        <v>9542.16</v>
      </c>
    </row>
    <row r="28">
      <c r="A28" t="inlineStr">
        <is>
          <t>CTR-00030</t>
        </is>
      </c>
      <c r="B28" t="n">
        <v>50061.89999999999</v>
      </c>
    </row>
    <row r="29">
      <c r="A29" t="inlineStr">
        <is>
          <t>CTR-00031</t>
        </is>
      </c>
      <c r="B29" t="n">
        <v>12045.07</v>
      </c>
    </row>
    <row r="30">
      <c r="A30" t="inlineStr">
        <is>
          <t>CTR-00032</t>
        </is>
      </c>
      <c r="B30" t="n">
        <v>25826.4</v>
      </c>
    </row>
    <row r="31">
      <c r="A31" t="inlineStr">
        <is>
          <t>CTR-00033</t>
        </is>
      </c>
      <c r="B31" t="n">
        <v>9948.5</v>
      </c>
    </row>
    <row r="32">
      <c r="A32" t="inlineStr">
        <is>
          <t>CTR-00034</t>
        </is>
      </c>
      <c r="B32" t="n">
        <v>3495.14</v>
      </c>
    </row>
    <row r="33">
      <c r="A33" t="inlineStr">
        <is>
          <t>CTR-00036</t>
        </is>
      </c>
      <c r="B33" t="n">
        <v>35895.47</v>
      </c>
    </row>
    <row r="34">
      <c r="A34" t="inlineStr">
        <is>
          <t>CTR-00037</t>
        </is>
      </c>
      <c r="B34" t="n">
        <v>7576.12</v>
      </c>
    </row>
    <row r="35">
      <c r="A35" t="inlineStr">
        <is>
          <t>CTR-00038</t>
        </is>
      </c>
      <c r="B35" t="n">
        <v>24290.64</v>
      </c>
    </row>
    <row r="36">
      <c r="A36" t="inlineStr">
        <is>
          <t>CTR-00039</t>
        </is>
      </c>
      <c r="B36" t="n">
        <v>25045</v>
      </c>
    </row>
    <row r="37">
      <c r="A37" t="inlineStr">
        <is>
          <t>CTR-00040</t>
        </is>
      </c>
      <c r="B37" t="n">
        <v>66948.36</v>
      </c>
    </row>
    <row r="38">
      <c r="A38" t="inlineStr">
        <is>
          <t>CTR-00041</t>
        </is>
      </c>
      <c r="B38" t="n">
        <v>3223.02</v>
      </c>
    </row>
    <row r="39">
      <c r="A39" t="inlineStr">
        <is>
          <t>CTR-00042</t>
        </is>
      </c>
      <c r="B39" t="n">
        <v>5614.01</v>
      </c>
    </row>
    <row r="40">
      <c r="A40" t="inlineStr">
        <is>
          <t>CTR-00043</t>
        </is>
      </c>
      <c r="B40" t="n">
        <v>5181.02</v>
      </c>
    </row>
    <row r="41">
      <c r="A41" t="inlineStr">
        <is>
          <t>CTR-00044</t>
        </is>
      </c>
      <c r="B41" t="n">
        <v>8442.030000000001</v>
      </c>
    </row>
    <row r="42">
      <c r="A42" t="inlineStr">
        <is>
          <t>CTR-00045</t>
        </is>
      </c>
      <c r="B42" t="n">
        <v>6551.84</v>
      </c>
    </row>
    <row r="43">
      <c r="A43" t="inlineStr">
        <is>
          <t>CTR-00046</t>
        </is>
      </c>
      <c r="B43" t="n">
        <v>2740.65</v>
      </c>
    </row>
    <row r="44">
      <c r="A44" t="inlineStr">
        <is>
          <t>CTR-00047</t>
        </is>
      </c>
      <c r="B44" t="n">
        <v>6325.96</v>
      </c>
    </row>
    <row r="45">
      <c r="A45" t="inlineStr">
        <is>
          <t>CTR-00048</t>
        </is>
      </c>
      <c r="B45" t="n">
        <v>2543.31</v>
      </c>
    </row>
    <row r="46">
      <c r="A46" t="inlineStr">
        <is>
          <t>CTR-00049</t>
        </is>
      </c>
      <c r="B46" t="n">
        <v>13173.75</v>
      </c>
    </row>
    <row r="47">
      <c r="A47" t="inlineStr">
        <is>
          <t>CTR-00050</t>
        </is>
      </c>
      <c r="B47" t="n">
        <v>2357.52</v>
      </c>
    </row>
    <row r="48">
      <c r="A48" t="inlineStr">
        <is>
          <t>CTR-00051</t>
        </is>
      </c>
      <c r="B48" t="n">
        <v>20769.4</v>
      </c>
    </row>
    <row r="49">
      <c r="A49" t="inlineStr">
        <is>
          <t>CTR-00052</t>
        </is>
      </c>
      <c r="B49" t="n">
        <v>1995.03</v>
      </c>
    </row>
    <row r="50">
      <c r="A50" t="inlineStr">
        <is>
          <t>CTR-00053</t>
        </is>
      </c>
      <c r="B50" t="n">
        <v>13525.02</v>
      </c>
    </row>
    <row r="51">
      <c r="A51" t="inlineStr">
        <is>
          <t>CTR-00054</t>
        </is>
      </c>
      <c r="B51" t="n">
        <v>87627.17999999999</v>
      </c>
    </row>
    <row r="52">
      <c r="A52" t="inlineStr">
        <is>
          <t>CTR-00055</t>
        </is>
      </c>
      <c r="B52" t="n">
        <v>4236.18</v>
      </c>
    </row>
    <row r="53">
      <c r="A53" t="inlineStr">
        <is>
          <t>CTR-00056</t>
        </is>
      </c>
      <c r="B53" t="n">
        <v>8961.43</v>
      </c>
    </row>
    <row r="54">
      <c r="A54" t="inlineStr">
        <is>
          <t>CTR-00057</t>
        </is>
      </c>
      <c r="B54" t="n">
        <v>7493.7</v>
      </c>
    </row>
    <row r="55">
      <c r="A55" t="inlineStr">
        <is>
          <t>CTR-00058</t>
        </is>
      </c>
      <c r="B55" t="n">
        <v>11068.65</v>
      </c>
    </row>
    <row r="56">
      <c r="A56" t="inlineStr">
        <is>
          <t>CTR-00059</t>
        </is>
      </c>
      <c r="B56" t="n">
        <v>976.35</v>
      </c>
    </row>
    <row r="57">
      <c r="A57" t="inlineStr">
        <is>
          <t>CTR-00060</t>
        </is>
      </c>
      <c r="B57" t="n">
        <v>16572.36</v>
      </c>
    </row>
    <row r="58">
      <c r="A58" t="inlineStr">
        <is>
          <t>CTR-00061</t>
        </is>
      </c>
      <c r="B58" t="n">
        <v>31331.17</v>
      </c>
    </row>
    <row r="59">
      <c r="A59" t="inlineStr">
        <is>
          <t>CTR-00062</t>
        </is>
      </c>
      <c r="B59" t="n">
        <v>39431</v>
      </c>
    </row>
    <row r="60">
      <c r="A60" t="inlineStr">
        <is>
          <t>CTR-00063</t>
        </is>
      </c>
      <c r="B60" t="n">
        <v>1859.96</v>
      </c>
    </row>
    <row r="61">
      <c r="A61" t="inlineStr">
        <is>
          <t>CTR-00064</t>
        </is>
      </c>
      <c r="B61" t="n">
        <v>61714.58</v>
      </c>
    </row>
    <row r="62">
      <c r="A62" t="inlineStr">
        <is>
          <t>CTR-00065</t>
        </is>
      </c>
      <c r="B62" t="n">
        <v>121891.56</v>
      </c>
    </row>
    <row r="63">
      <c r="A63" t="inlineStr">
        <is>
          <t>CTR-00066</t>
        </is>
      </c>
      <c r="B63" t="n">
        <v>7561.54</v>
      </c>
    </row>
    <row r="64">
      <c r="A64" t="inlineStr">
        <is>
          <t>CTR-00067</t>
        </is>
      </c>
      <c r="B64" t="n">
        <v>980.33</v>
      </c>
    </row>
    <row r="65">
      <c r="A65" t="inlineStr">
        <is>
          <t>CTR-00068</t>
        </is>
      </c>
      <c r="B65" t="n">
        <v>48280.26</v>
      </c>
    </row>
    <row r="66">
      <c r="A66" t="inlineStr">
        <is>
          <t>CTR-00069</t>
        </is>
      </c>
      <c r="B66" t="n">
        <v>17355.96</v>
      </c>
    </row>
    <row r="67">
      <c r="A67" t="inlineStr">
        <is>
          <t>CTR-00070</t>
        </is>
      </c>
      <c r="B67" t="n">
        <v>87460.63</v>
      </c>
    </row>
    <row r="68">
      <c r="A68" t="inlineStr">
        <is>
          <t>CTR-00071</t>
        </is>
      </c>
      <c r="B68" t="n">
        <v>4828.87</v>
      </c>
    </row>
    <row r="69">
      <c r="A69" t="inlineStr">
        <is>
          <t>CTR-00072</t>
        </is>
      </c>
      <c r="B69" t="n">
        <v>8234.85</v>
      </c>
    </row>
    <row r="70">
      <c r="A70" t="inlineStr">
        <is>
          <t>CTR-00073</t>
        </is>
      </c>
      <c r="B70" t="n">
        <v>35453.51</v>
      </c>
    </row>
    <row r="71">
      <c r="A71" t="inlineStr">
        <is>
          <t>CTR-00074</t>
        </is>
      </c>
      <c r="B71" t="n">
        <v>87820.8</v>
      </c>
    </row>
    <row r="72">
      <c r="A72" t="inlineStr">
        <is>
          <t>CTR-00075</t>
        </is>
      </c>
      <c r="B72" t="n">
        <v>6736.36</v>
      </c>
    </row>
    <row r="73">
      <c r="A73" t="inlineStr">
        <is>
          <t>CTR-00076</t>
        </is>
      </c>
      <c r="B73" t="n">
        <v>69894.3</v>
      </c>
    </row>
    <row r="74">
      <c r="A74" t="inlineStr">
        <is>
          <t>CTR-00077</t>
        </is>
      </c>
      <c r="B74" t="n">
        <v>41542.15</v>
      </c>
    </row>
    <row r="75">
      <c r="A75" t="inlineStr">
        <is>
          <t>CTR-00078</t>
        </is>
      </c>
      <c r="B75" t="n">
        <v>34621.05</v>
      </c>
    </row>
    <row r="76">
      <c r="A76" t="inlineStr">
        <is>
          <t>CTR-00079</t>
        </is>
      </c>
      <c r="B76" t="n">
        <v>43247.25</v>
      </c>
    </row>
    <row r="77">
      <c r="A77" t="inlineStr">
        <is>
          <t>CTR-00080</t>
        </is>
      </c>
      <c r="B77" t="n">
        <v>4720.44</v>
      </c>
    </row>
    <row r="78">
      <c r="A78" t="inlineStr">
        <is>
          <t>CTR-00081</t>
        </is>
      </c>
      <c r="B78" t="n">
        <v>100276.27</v>
      </c>
    </row>
    <row r="79">
      <c r="A79" t="inlineStr">
        <is>
          <t>CTR-00082</t>
        </is>
      </c>
      <c r="B79" t="n">
        <v>54152.56</v>
      </c>
    </row>
    <row r="80">
      <c r="A80" t="inlineStr">
        <is>
          <t>CTR-00083</t>
        </is>
      </c>
      <c r="B80" t="n">
        <v>19637.22</v>
      </c>
    </row>
    <row r="81">
      <c r="A81" t="inlineStr">
        <is>
          <t>CTR-00084</t>
        </is>
      </c>
      <c r="B81" t="n">
        <v>14549.7</v>
      </c>
    </row>
    <row r="82">
      <c r="A82" t="inlineStr">
        <is>
          <t>CTR-00085</t>
        </is>
      </c>
      <c r="B82" t="n">
        <v>10823.84</v>
      </c>
    </row>
    <row r="83">
      <c r="A83" t="inlineStr">
        <is>
          <t>CTR-00086</t>
        </is>
      </c>
      <c r="B83" t="n">
        <v>8568.720000000001</v>
      </c>
    </row>
    <row r="84">
      <c r="A84" t="inlineStr">
        <is>
          <t>CTR-00087</t>
        </is>
      </c>
      <c r="B84" t="n">
        <v>10455.5</v>
      </c>
    </row>
    <row r="85">
      <c r="A85" t="inlineStr">
        <is>
          <t>CTR-00088</t>
        </is>
      </c>
      <c r="B85" t="n">
        <v>1172.59</v>
      </c>
    </row>
    <row r="86">
      <c r="A86" t="inlineStr">
        <is>
          <t>CTR-00089</t>
        </is>
      </c>
      <c r="B86" t="n">
        <v>24168.42</v>
      </c>
    </row>
    <row r="87">
      <c r="A87" t="inlineStr">
        <is>
          <t>CTR-00090</t>
        </is>
      </c>
      <c r="B87" t="n">
        <v>19404.8</v>
      </c>
    </row>
    <row r="88">
      <c r="A88" t="inlineStr">
        <is>
          <t>CTR-00091</t>
        </is>
      </c>
      <c r="B88" t="n">
        <v>21518.82</v>
      </c>
    </row>
    <row r="89">
      <c r="A89" t="inlineStr">
        <is>
          <t>CTR-00092</t>
        </is>
      </c>
      <c r="B89" t="n">
        <v>23428.99</v>
      </c>
    </row>
    <row r="90">
      <c r="A90" t="inlineStr">
        <is>
          <t>CTR-00093</t>
        </is>
      </c>
      <c r="B90" t="n">
        <v>44955</v>
      </c>
    </row>
    <row r="91">
      <c r="A91" t="inlineStr">
        <is>
          <t>CTR-00094</t>
        </is>
      </c>
      <c r="B91" t="n">
        <v>8750.48</v>
      </c>
    </row>
    <row r="92">
      <c r="A92" t="inlineStr">
        <is>
          <t>CTR-00095</t>
        </is>
      </c>
      <c r="B92" t="n">
        <v>7197.6</v>
      </c>
    </row>
    <row r="93">
      <c r="A93" t="inlineStr">
        <is>
          <t>CTR-00096</t>
        </is>
      </c>
      <c r="B93" t="n">
        <v>40254.24</v>
      </c>
    </row>
    <row r="94">
      <c r="A94" t="inlineStr">
        <is>
          <t>CTR-00097</t>
        </is>
      </c>
      <c r="B94" t="n">
        <v>22573.15</v>
      </c>
    </row>
    <row r="95">
      <c r="A95" t="inlineStr">
        <is>
          <t>CTR-00098</t>
        </is>
      </c>
      <c r="B95" t="n">
        <v>57847.6</v>
      </c>
    </row>
    <row r="96">
      <c r="A96" t="inlineStr">
        <is>
          <t>CTR-00099</t>
        </is>
      </c>
      <c r="B96" t="n">
        <v>29075.36</v>
      </c>
    </row>
    <row r="97">
      <c r="A97" t="inlineStr">
        <is>
          <t>CTR-00101</t>
        </is>
      </c>
      <c r="B97" t="n">
        <v>38001.2</v>
      </c>
    </row>
    <row r="98">
      <c r="A98" t="inlineStr">
        <is>
          <t>CTR-00102</t>
        </is>
      </c>
      <c r="B98" t="n">
        <v>38707.7</v>
      </c>
    </row>
    <row r="99">
      <c r="A99" t="inlineStr">
        <is>
          <t>CTR-00103</t>
        </is>
      </c>
      <c r="B99" t="n">
        <v>1928.79</v>
      </c>
    </row>
    <row r="100">
      <c r="A100" t="inlineStr">
        <is>
          <t>CTR-00104</t>
        </is>
      </c>
      <c r="B100" t="n">
        <v>48816.09</v>
      </c>
    </row>
    <row r="101">
      <c r="A101" t="inlineStr">
        <is>
          <t>CTR-00105</t>
        </is>
      </c>
      <c r="B101" t="n">
        <v>52312.68</v>
      </c>
    </row>
    <row r="102">
      <c r="A102" t="inlineStr">
        <is>
          <t>CTR-00106</t>
        </is>
      </c>
      <c r="B102" t="n">
        <v>23262</v>
      </c>
    </row>
    <row r="103">
      <c r="A103" t="inlineStr">
        <is>
          <t>CTR-00107</t>
        </is>
      </c>
      <c r="B103" t="n">
        <v>66565.28</v>
      </c>
    </row>
    <row r="104">
      <c r="A104" t="inlineStr">
        <is>
          <t>CTR-00108</t>
        </is>
      </c>
      <c r="B104" t="n">
        <v>8362.799999999999</v>
      </c>
    </row>
    <row r="105">
      <c r="A105" t="inlineStr">
        <is>
          <t>CTR-00109</t>
        </is>
      </c>
      <c r="B105" t="n">
        <v>19436.52</v>
      </c>
    </row>
    <row r="106">
      <c r="A106" t="inlineStr">
        <is>
          <t>CTR-00110</t>
        </is>
      </c>
      <c r="B106" t="n">
        <v>61969.39999999999</v>
      </c>
    </row>
    <row r="107">
      <c r="A107" t="inlineStr">
        <is>
          <t>CTR-00111</t>
        </is>
      </c>
      <c r="B107" t="n">
        <v>11435.9</v>
      </c>
    </row>
    <row r="108">
      <c r="A108" t="inlineStr">
        <is>
          <t>CTR-00112</t>
        </is>
      </c>
      <c r="B108" t="n">
        <v>22808.15</v>
      </c>
    </row>
    <row r="109">
      <c r="A109" t="inlineStr">
        <is>
          <t>CTR-00113</t>
        </is>
      </c>
      <c r="B109" t="n">
        <v>38997.84</v>
      </c>
    </row>
    <row r="110">
      <c r="A110" t="inlineStr">
        <is>
          <t>CTR-00114</t>
        </is>
      </c>
      <c r="B110" t="n">
        <v>66609.70999999999</v>
      </c>
    </row>
    <row r="111">
      <c r="A111" t="inlineStr">
        <is>
          <t>CTR-00115</t>
        </is>
      </c>
      <c r="B111" t="n">
        <v>17943.6</v>
      </c>
    </row>
    <row r="112">
      <c r="A112" t="inlineStr">
        <is>
          <t>CTR-00116</t>
        </is>
      </c>
      <c r="B112" t="n">
        <v>4612.92</v>
      </c>
    </row>
    <row r="113">
      <c r="A113" t="inlineStr">
        <is>
          <t>CTR-00117</t>
        </is>
      </c>
      <c r="B113" t="n">
        <v>18811.2</v>
      </c>
    </row>
    <row r="114">
      <c r="A114" t="inlineStr">
        <is>
          <t>CTR-00118</t>
        </is>
      </c>
      <c r="B114" t="n">
        <v>5945.44</v>
      </c>
    </row>
    <row r="115">
      <c r="A115" t="inlineStr">
        <is>
          <t>CTR-00120</t>
        </is>
      </c>
      <c r="B115" t="n">
        <v>14318.94</v>
      </c>
    </row>
    <row r="116">
      <c r="A116" t="inlineStr">
        <is>
          <t>CTR-00121</t>
        </is>
      </c>
      <c r="B116" t="n">
        <v>51069.36</v>
      </c>
    </row>
    <row r="117">
      <c r="A117" t="inlineStr">
        <is>
          <t>CTR-00122</t>
        </is>
      </c>
      <c r="B117" t="n">
        <v>57491.81999999999</v>
      </c>
    </row>
    <row r="118">
      <c r="A118" t="inlineStr">
        <is>
          <t>CTR-00123</t>
        </is>
      </c>
      <c r="B118" t="n">
        <v>43484.48</v>
      </c>
    </row>
    <row r="119">
      <c r="A119" t="inlineStr">
        <is>
          <t>CTR-00124</t>
        </is>
      </c>
      <c r="B119" t="n">
        <v>87718.53999999999</v>
      </c>
    </row>
    <row r="120">
      <c r="A120" t="inlineStr">
        <is>
          <t>CTR-00125</t>
        </is>
      </c>
      <c r="B120" t="n">
        <v>8205.09</v>
      </c>
    </row>
    <row r="121">
      <c r="A121" t="inlineStr">
        <is>
          <t>CTR-00126</t>
        </is>
      </c>
      <c r="B121" t="n">
        <v>8494.02</v>
      </c>
    </row>
    <row r="122">
      <c r="A122" t="inlineStr">
        <is>
          <t>CTR-00127</t>
        </is>
      </c>
      <c r="B122" t="n">
        <v>33432.59</v>
      </c>
    </row>
    <row r="123">
      <c r="A123" t="inlineStr">
        <is>
          <t>CTR-00128</t>
        </is>
      </c>
      <c r="B123" t="n">
        <v>9791.73</v>
      </c>
    </row>
    <row r="124">
      <c r="A124" t="inlineStr">
        <is>
          <t>CTR-00129</t>
        </is>
      </c>
      <c r="B124" t="n">
        <v>78425.19</v>
      </c>
    </row>
    <row r="125">
      <c r="A125" t="inlineStr">
        <is>
          <t>CTR-00130</t>
        </is>
      </c>
      <c r="B125" t="n">
        <v>3847.17</v>
      </c>
    </row>
    <row r="126">
      <c r="A126" t="inlineStr">
        <is>
          <t>CTR-00131</t>
        </is>
      </c>
      <c r="B126" t="n">
        <v>5554.98</v>
      </c>
    </row>
    <row r="127">
      <c r="A127" t="inlineStr">
        <is>
          <t>CTR-00132</t>
        </is>
      </c>
      <c r="B127" t="n">
        <v>23965.26</v>
      </c>
    </row>
    <row r="128">
      <c r="A128" t="inlineStr">
        <is>
          <t>CTR-00133</t>
        </is>
      </c>
      <c r="B128" t="n">
        <v>13742.56</v>
      </c>
    </row>
    <row r="129">
      <c r="A129" t="inlineStr">
        <is>
          <t>CTR-00134</t>
        </is>
      </c>
      <c r="B129" t="n">
        <v>9924.639999999999</v>
      </c>
    </row>
    <row r="130">
      <c r="A130" t="inlineStr">
        <is>
          <t>CTR-00135</t>
        </is>
      </c>
      <c r="B130" t="n">
        <v>14701.9</v>
      </c>
    </row>
    <row r="131">
      <c r="A131" t="inlineStr">
        <is>
          <t>CTR-00136</t>
        </is>
      </c>
      <c r="B131" t="n">
        <v>2688.75</v>
      </c>
    </row>
    <row r="132">
      <c r="A132" t="inlineStr">
        <is>
          <t>CTR-00137</t>
        </is>
      </c>
      <c r="B132" t="n">
        <v>1607.05</v>
      </c>
    </row>
    <row r="133">
      <c r="A133" t="inlineStr">
        <is>
          <t>CTR-00138</t>
        </is>
      </c>
      <c r="B133" t="n">
        <v>4599.12</v>
      </c>
    </row>
    <row r="134">
      <c r="A134" t="inlineStr">
        <is>
          <t>CTR-00139</t>
        </is>
      </c>
      <c r="B134" t="n">
        <v>10872.74</v>
      </c>
    </row>
    <row r="135">
      <c r="A135" t="inlineStr">
        <is>
          <t>CTR-00141</t>
        </is>
      </c>
      <c r="B135" t="n">
        <v>64953.28000000001</v>
      </c>
    </row>
    <row r="136">
      <c r="A136" t="inlineStr">
        <is>
          <t>CTR-00142</t>
        </is>
      </c>
      <c r="B136" t="n">
        <v>20252.28</v>
      </c>
    </row>
    <row r="137">
      <c r="A137" t="inlineStr">
        <is>
          <t>CTR-00145</t>
        </is>
      </c>
      <c r="B137" t="n">
        <v>47892.16</v>
      </c>
    </row>
    <row r="138">
      <c r="A138" t="inlineStr">
        <is>
          <t>CTR-00146</t>
        </is>
      </c>
      <c r="B138" t="n">
        <v>20404.08</v>
      </c>
    </row>
    <row r="139">
      <c r="A139" t="inlineStr">
        <is>
          <t>CTR-00147</t>
        </is>
      </c>
      <c r="B139" t="n">
        <v>15905.61</v>
      </c>
    </row>
    <row r="140">
      <c r="A140" t="inlineStr">
        <is>
          <t>CTR-00148</t>
        </is>
      </c>
      <c r="B140" t="n">
        <v>47792.25</v>
      </c>
    </row>
    <row r="141">
      <c r="A141" t="inlineStr">
        <is>
          <t>CTR-00149</t>
        </is>
      </c>
      <c r="B141" t="n">
        <v>37681.77</v>
      </c>
    </row>
    <row r="142">
      <c r="A142" t="inlineStr">
        <is>
          <t>CTR-00150</t>
        </is>
      </c>
      <c r="B142" t="n">
        <v>12345.15</v>
      </c>
    </row>
    <row r="143">
      <c r="A143" t="inlineStr">
        <is>
          <t>CTR-00151</t>
        </is>
      </c>
      <c r="B143" t="n">
        <v>1799.63</v>
      </c>
    </row>
    <row r="144">
      <c r="A144" t="inlineStr">
        <is>
          <t>CTR-00152</t>
        </is>
      </c>
      <c r="B144" t="n">
        <v>61364.99000000001</v>
      </c>
    </row>
    <row r="145">
      <c r="A145" t="inlineStr">
        <is>
          <t>CTR-00153</t>
        </is>
      </c>
      <c r="B145" t="n">
        <v>1073.73</v>
      </c>
    </row>
    <row r="146">
      <c r="A146" t="inlineStr">
        <is>
          <t>CTR-00154</t>
        </is>
      </c>
      <c r="B146" t="n">
        <v>14973.66</v>
      </c>
    </row>
    <row r="147">
      <c r="A147" t="inlineStr">
        <is>
          <t>CTR-00155</t>
        </is>
      </c>
      <c r="B147" t="n">
        <v>182741.51</v>
      </c>
    </row>
    <row r="148">
      <c r="A148" t="inlineStr">
        <is>
          <t>CTR-00156</t>
        </is>
      </c>
      <c r="B148" t="n">
        <v>21985.64</v>
      </c>
    </row>
    <row r="149">
      <c r="A149" t="inlineStr">
        <is>
          <t>CTR-00157</t>
        </is>
      </c>
      <c r="B149" t="n">
        <v>75177.60000000001</v>
      </c>
    </row>
    <row r="150">
      <c r="A150" t="inlineStr">
        <is>
          <t>CTR-00158</t>
        </is>
      </c>
      <c r="B150" t="n">
        <v>33328.85</v>
      </c>
    </row>
    <row r="151">
      <c r="A151" t="inlineStr">
        <is>
          <t>CTR-00159</t>
        </is>
      </c>
      <c r="B151" t="n">
        <v>63545.04</v>
      </c>
    </row>
    <row r="152">
      <c r="A152" t="inlineStr">
        <is>
          <t>CTR-00160</t>
        </is>
      </c>
      <c r="B152" t="n">
        <v>45148.68</v>
      </c>
    </row>
    <row r="153">
      <c r="A153" t="inlineStr">
        <is>
          <t>CTR-00161</t>
        </is>
      </c>
      <c r="B153" t="n">
        <v>10827.9</v>
      </c>
    </row>
    <row r="154">
      <c r="A154" t="inlineStr">
        <is>
          <t>CTR-00162</t>
        </is>
      </c>
      <c r="B154" t="n">
        <v>10125.22</v>
      </c>
    </row>
    <row r="155">
      <c r="A155" t="inlineStr">
        <is>
          <t>CTR-00163</t>
        </is>
      </c>
      <c r="B155" t="n">
        <v>59865.40000000001</v>
      </c>
    </row>
    <row r="156">
      <c r="A156" t="inlineStr">
        <is>
          <t>CTR-00164</t>
        </is>
      </c>
      <c r="B156" t="n">
        <v>57534.14999999999</v>
      </c>
    </row>
    <row r="157">
      <c r="A157" t="inlineStr">
        <is>
          <t>CTR-00166</t>
        </is>
      </c>
      <c r="B157" t="n">
        <v>13083.73</v>
      </c>
    </row>
    <row r="158">
      <c r="A158" t="inlineStr">
        <is>
          <t>CTR-00167</t>
        </is>
      </c>
      <c r="B158" t="n">
        <v>7964.040000000001</v>
      </c>
    </row>
    <row r="159">
      <c r="A159" t="inlineStr">
        <is>
          <t>CTR-00168</t>
        </is>
      </c>
      <c r="B159" t="n">
        <v>40654.12</v>
      </c>
    </row>
    <row r="160">
      <c r="A160" t="inlineStr">
        <is>
          <t>CTR-00169</t>
        </is>
      </c>
      <c r="B160" t="n">
        <v>8263.84</v>
      </c>
    </row>
    <row r="161">
      <c r="A161" t="inlineStr">
        <is>
          <t>CTR-00170</t>
        </is>
      </c>
      <c r="B161" t="n">
        <v>5953.8</v>
      </c>
    </row>
    <row r="162">
      <c r="A162" t="inlineStr">
        <is>
          <t>CTR-00171</t>
        </is>
      </c>
      <c r="B162" t="n">
        <v>8539.040000000001</v>
      </c>
    </row>
    <row r="163">
      <c r="A163" t="inlineStr">
        <is>
          <t>CTR-00172</t>
        </is>
      </c>
      <c r="B163" t="n">
        <v>62333.91</v>
      </c>
    </row>
    <row r="164">
      <c r="A164" t="inlineStr">
        <is>
          <t>CTR-00173</t>
        </is>
      </c>
      <c r="B164" t="n">
        <v>4202.62</v>
      </c>
    </row>
    <row r="165">
      <c r="A165" t="inlineStr">
        <is>
          <t>CTR-00174</t>
        </is>
      </c>
      <c r="B165" t="n">
        <v>43620</v>
      </c>
    </row>
    <row r="166">
      <c r="A166" t="inlineStr">
        <is>
          <t>CTR-00175</t>
        </is>
      </c>
      <c r="B166" t="n">
        <v>34611.84</v>
      </c>
    </row>
    <row r="167">
      <c r="A167" t="inlineStr">
        <is>
          <t>CTR-00176</t>
        </is>
      </c>
      <c r="B167" t="n">
        <v>13039.04</v>
      </c>
    </row>
    <row r="168">
      <c r="A168" t="inlineStr">
        <is>
          <t>CTR-00177</t>
        </is>
      </c>
      <c r="B168" t="n">
        <v>18403.02</v>
      </c>
    </row>
    <row r="169">
      <c r="A169" t="inlineStr">
        <is>
          <t>CTR-00178</t>
        </is>
      </c>
      <c r="B169" t="n">
        <v>26772.7</v>
      </c>
    </row>
    <row r="170">
      <c r="A170" t="inlineStr">
        <is>
          <t>CTR-00179</t>
        </is>
      </c>
      <c r="B170" t="n">
        <v>19064.3</v>
      </c>
    </row>
    <row r="171">
      <c r="A171" t="inlineStr">
        <is>
          <t>CTR-00180</t>
        </is>
      </c>
      <c r="B171" t="n">
        <v>1864.45</v>
      </c>
    </row>
    <row r="172">
      <c r="A172" t="inlineStr">
        <is>
          <t>CTR-00181</t>
        </is>
      </c>
      <c r="B172" t="n">
        <v>4181.9</v>
      </c>
    </row>
    <row r="173">
      <c r="A173" t="inlineStr">
        <is>
          <t>CTR-00182</t>
        </is>
      </c>
      <c r="B173" t="n">
        <v>67290.24000000001</v>
      </c>
    </row>
    <row r="174">
      <c r="A174" t="inlineStr">
        <is>
          <t>CTR-00183</t>
        </is>
      </c>
      <c r="B174" t="n">
        <v>36969.17</v>
      </c>
    </row>
    <row r="175">
      <c r="A175" t="inlineStr">
        <is>
          <t>CTR-00184</t>
        </is>
      </c>
      <c r="B175" t="n">
        <v>166054.4</v>
      </c>
    </row>
    <row r="176">
      <c r="A176" t="inlineStr">
        <is>
          <t>CTR-00185</t>
        </is>
      </c>
      <c r="B176" t="n">
        <v>17117.32</v>
      </c>
    </row>
    <row r="177">
      <c r="A177" t="inlineStr">
        <is>
          <t>CTR-00186</t>
        </is>
      </c>
      <c r="B177" t="n">
        <v>4808.81</v>
      </c>
    </row>
    <row r="178">
      <c r="A178" t="inlineStr">
        <is>
          <t>CTR-00187</t>
        </is>
      </c>
      <c r="B178" t="n">
        <v>2872.36</v>
      </c>
    </row>
    <row r="179">
      <c r="A179" t="inlineStr">
        <is>
          <t>CTR-00188</t>
        </is>
      </c>
      <c r="B179" t="n">
        <v>4945.5</v>
      </c>
    </row>
    <row r="180">
      <c r="A180" t="inlineStr">
        <is>
          <t>CTR-00189</t>
        </is>
      </c>
      <c r="B180" t="n">
        <v>39821.15</v>
      </c>
    </row>
    <row r="181">
      <c r="A181" t="inlineStr">
        <is>
          <t>CTR-00191</t>
        </is>
      </c>
      <c r="B181" t="n">
        <v>2670.6</v>
      </c>
    </row>
    <row r="182">
      <c r="A182" t="inlineStr">
        <is>
          <t>CTR-00192</t>
        </is>
      </c>
      <c r="B182" t="n">
        <v>6948.4</v>
      </c>
    </row>
    <row r="183">
      <c r="A183" t="inlineStr">
        <is>
          <t>CTR-00193</t>
        </is>
      </c>
      <c r="B183" t="n">
        <v>10467.3</v>
      </c>
    </row>
    <row r="184">
      <c r="A184" t="inlineStr">
        <is>
          <t>CTR-00194</t>
        </is>
      </c>
      <c r="B184" t="n">
        <v>18967.2</v>
      </c>
    </row>
    <row r="185">
      <c r="A185" t="inlineStr">
        <is>
          <t>CTR-00195</t>
        </is>
      </c>
      <c r="B185" t="n">
        <v>13331.11</v>
      </c>
    </row>
    <row r="186">
      <c r="A186" t="inlineStr">
        <is>
          <t>CTR-00197</t>
        </is>
      </c>
      <c r="B186" t="n">
        <v>8037.879999999999</v>
      </c>
    </row>
    <row r="187">
      <c r="A187" t="inlineStr">
        <is>
          <t>CTR-00198</t>
        </is>
      </c>
      <c r="B187" t="n">
        <v>25003.13</v>
      </c>
    </row>
    <row r="188">
      <c r="A188" t="inlineStr">
        <is>
          <t>CTR-00200</t>
        </is>
      </c>
      <c r="B188" t="n">
        <v>26799.82</v>
      </c>
    </row>
    <row r="189">
      <c r="A189" t="inlineStr">
        <is>
          <t>CTR-00201</t>
        </is>
      </c>
      <c r="B189" t="n">
        <v>14594.69</v>
      </c>
    </row>
    <row r="190">
      <c r="A190" t="inlineStr">
        <is>
          <t>CTR-00202</t>
        </is>
      </c>
      <c r="B190" t="n">
        <v>21168.75</v>
      </c>
    </row>
    <row r="191">
      <c r="A191" t="inlineStr">
        <is>
          <t>CTR-00203</t>
        </is>
      </c>
      <c r="B191" t="n">
        <v>23312.8</v>
      </c>
    </row>
    <row r="192">
      <c r="A192" t="inlineStr">
        <is>
          <t>CTR-00204</t>
        </is>
      </c>
      <c r="B192" t="n">
        <v>67067.34</v>
      </c>
    </row>
    <row r="193">
      <c r="A193" t="inlineStr">
        <is>
          <t>CTR-00205</t>
        </is>
      </c>
      <c r="B193" t="n">
        <v>30457.54</v>
      </c>
    </row>
    <row r="194">
      <c r="A194" t="inlineStr">
        <is>
          <t>CTR-00206</t>
        </is>
      </c>
      <c r="B194" t="n">
        <v>1818.33</v>
      </c>
    </row>
    <row r="195">
      <c r="A195" t="inlineStr">
        <is>
          <t>CTR-00207</t>
        </is>
      </c>
      <c r="B195" t="n">
        <v>261163.98</v>
      </c>
    </row>
    <row r="196">
      <c r="A196" t="inlineStr">
        <is>
          <t>CTR-00208</t>
        </is>
      </c>
      <c r="B196" t="n">
        <v>82977.73000000001</v>
      </c>
    </row>
    <row r="197">
      <c r="A197" t="inlineStr">
        <is>
          <t>CTR-00209</t>
        </is>
      </c>
      <c r="B197" t="n">
        <v>29149.89</v>
      </c>
    </row>
    <row r="198">
      <c r="A198" t="inlineStr">
        <is>
          <t>CTR-00210</t>
        </is>
      </c>
      <c r="B198" t="n">
        <v>4370.099999999999</v>
      </c>
    </row>
    <row r="199">
      <c r="A199" t="inlineStr">
        <is>
          <t>CTR-00211</t>
        </is>
      </c>
      <c r="B199" t="n">
        <v>5846.68</v>
      </c>
    </row>
    <row r="200">
      <c r="A200" t="inlineStr">
        <is>
          <t>CTR-00212</t>
        </is>
      </c>
      <c r="B200" t="n">
        <v>3541.28</v>
      </c>
    </row>
    <row r="201">
      <c r="A201" t="inlineStr">
        <is>
          <t>CTR-00213</t>
        </is>
      </c>
      <c r="B201" t="n">
        <v>3429.52</v>
      </c>
    </row>
    <row r="202">
      <c r="A202" t="inlineStr">
        <is>
          <t>CTR-00214</t>
        </is>
      </c>
      <c r="B202" t="n">
        <v>7440.950000000001</v>
      </c>
    </row>
    <row r="203">
      <c r="A203" t="inlineStr">
        <is>
          <t>CTR-00215</t>
        </is>
      </c>
      <c r="B203" t="n">
        <v>12653.49</v>
      </c>
    </row>
    <row r="204">
      <c r="A204" t="inlineStr">
        <is>
          <t>CTR-00216</t>
        </is>
      </c>
      <c r="B204" t="n">
        <v>47672.55</v>
      </c>
    </row>
    <row r="205">
      <c r="A205" t="inlineStr">
        <is>
          <t>CTR-00217</t>
        </is>
      </c>
      <c r="B205" t="n">
        <v>32531.75</v>
      </c>
    </row>
    <row r="206">
      <c r="A206" t="inlineStr">
        <is>
          <t>CTR-00218</t>
        </is>
      </c>
      <c r="B206" t="n">
        <v>15931.42</v>
      </c>
    </row>
    <row r="207">
      <c r="A207" t="inlineStr">
        <is>
          <t>CTR-00219</t>
        </is>
      </c>
      <c r="B207" t="n">
        <v>45208.35000000001</v>
      </c>
    </row>
    <row r="208">
      <c r="A208" t="inlineStr">
        <is>
          <t>CTR-00221</t>
        </is>
      </c>
      <c r="B208" t="n">
        <v>72962.8</v>
      </c>
    </row>
    <row r="209">
      <c r="A209" t="inlineStr">
        <is>
          <t>CTR-00222</t>
        </is>
      </c>
      <c r="B209" t="n">
        <v>27838.09</v>
      </c>
    </row>
    <row r="210">
      <c r="A210" t="inlineStr">
        <is>
          <t>CTR-00223</t>
        </is>
      </c>
      <c r="B210" t="n">
        <v>32240.52</v>
      </c>
    </row>
    <row r="211">
      <c r="A211" t="inlineStr">
        <is>
          <t>CTR-00225</t>
        </is>
      </c>
      <c r="B211" t="n">
        <v>64919.14</v>
      </c>
    </row>
    <row r="212">
      <c r="A212" t="inlineStr">
        <is>
          <t>CTR-00226</t>
        </is>
      </c>
      <c r="B212" t="n">
        <v>5440.71</v>
      </c>
    </row>
    <row r="213">
      <c r="A213" t="inlineStr">
        <is>
          <t>CTR-00227</t>
        </is>
      </c>
      <c r="B213" t="n">
        <v>47763.56</v>
      </c>
    </row>
    <row r="214">
      <c r="A214" t="inlineStr">
        <is>
          <t>CTR-00228</t>
        </is>
      </c>
      <c r="B214" t="n">
        <v>3747.76</v>
      </c>
    </row>
    <row r="215">
      <c r="A215" t="inlineStr">
        <is>
          <t>CTR-00229</t>
        </is>
      </c>
      <c r="B215" t="n">
        <v>7381.92</v>
      </c>
    </row>
    <row r="216">
      <c r="A216" t="inlineStr">
        <is>
          <t>CTR-00231</t>
        </is>
      </c>
      <c r="B216" t="n">
        <v>61951.23</v>
      </c>
    </row>
    <row r="217">
      <c r="A217" t="inlineStr">
        <is>
          <t>CTR-00232</t>
        </is>
      </c>
      <c r="B217" t="n">
        <v>29524.3</v>
      </c>
    </row>
    <row r="218">
      <c r="A218" t="inlineStr">
        <is>
          <t>CTR-00233</t>
        </is>
      </c>
      <c r="B218" t="n">
        <v>37618.1</v>
      </c>
    </row>
    <row r="219">
      <c r="A219" t="inlineStr">
        <is>
          <t>CTR-00234</t>
        </is>
      </c>
      <c r="B219" t="n">
        <v>1469.72</v>
      </c>
    </row>
    <row r="220">
      <c r="A220" t="inlineStr">
        <is>
          <t>CTR-00235</t>
        </is>
      </c>
      <c r="B220" t="n">
        <v>7372.349999999999</v>
      </c>
    </row>
    <row r="221">
      <c r="A221" t="inlineStr">
        <is>
          <t>CTR-00236</t>
        </is>
      </c>
      <c r="B221" t="n">
        <v>5541.39</v>
      </c>
    </row>
    <row r="222">
      <c r="A222" t="inlineStr">
        <is>
          <t>CTR-00237</t>
        </is>
      </c>
      <c r="B222" t="n">
        <v>29422.12</v>
      </c>
    </row>
    <row r="223">
      <c r="A223" t="inlineStr">
        <is>
          <t>CTR-00238</t>
        </is>
      </c>
      <c r="B223" t="n">
        <v>11790.24</v>
      </c>
    </row>
    <row r="224">
      <c r="A224" t="inlineStr">
        <is>
          <t>CTR-00239</t>
        </is>
      </c>
      <c r="B224" t="n">
        <v>31021.36</v>
      </c>
    </row>
    <row r="225">
      <c r="A225" t="inlineStr">
        <is>
          <t>CTR-00240</t>
        </is>
      </c>
      <c r="B225" t="n">
        <v>6655.5</v>
      </c>
    </row>
    <row r="226">
      <c r="A226" t="inlineStr">
        <is>
          <t>CTR-00241</t>
        </is>
      </c>
      <c r="B226" t="n">
        <v>47311.95</v>
      </c>
    </row>
    <row r="227">
      <c r="A227" t="inlineStr">
        <is>
          <t>CTR-00242</t>
        </is>
      </c>
      <c r="B227" t="n">
        <v>16741.5</v>
      </c>
    </row>
    <row r="228">
      <c r="A228" t="inlineStr">
        <is>
          <t>CTR-00243</t>
        </is>
      </c>
      <c r="B228" t="n">
        <v>6486.56</v>
      </c>
    </row>
    <row r="229">
      <c r="A229" t="inlineStr">
        <is>
          <t>CTR-00244</t>
        </is>
      </c>
      <c r="B229" t="n">
        <v>13057.95</v>
      </c>
    </row>
    <row r="230">
      <c r="A230" t="inlineStr">
        <is>
          <t>CTR-00245</t>
        </is>
      </c>
      <c r="B230" t="n">
        <v>69529.95</v>
      </c>
    </row>
    <row r="231">
      <c r="A231" t="inlineStr">
        <is>
          <t>CTR-00246</t>
        </is>
      </c>
      <c r="B231" t="n">
        <v>11157.19</v>
      </c>
    </row>
    <row r="232">
      <c r="A232" t="inlineStr">
        <is>
          <t>CTR-00247</t>
        </is>
      </c>
      <c r="B232" t="n">
        <v>16026.24</v>
      </c>
    </row>
    <row r="233">
      <c r="A233" t="inlineStr">
        <is>
          <t>CTR-00248</t>
        </is>
      </c>
      <c r="B233" t="n">
        <v>45387.3</v>
      </c>
    </row>
    <row r="234">
      <c r="A234" t="inlineStr">
        <is>
          <t>CTR-00249</t>
        </is>
      </c>
      <c r="B234" t="n">
        <v>19230.45</v>
      </c>
    </row>
    <row r="235">
      <c r="A235" t="inlineStr">
        <is>
          <t>CTR-00250</t>
        </is>
      </c>
      <c r="B235" t="n">
        <v>79629.7</v>
      </c>
    </row>
    <row r="236">
      <c r="A236" t="inlineStr">
        <is>
          <t>CTR-00251</t>
        </is>
      </c>
      <c r="B236" t="n">
        <v>32504.72</v>
      </c>
    </row>
    <row r="237">
      <c r="A237" t="inlineStr">
        <is>
          <t>CTR-00253</t>
        </is>
      </c>
      <c r="B237" t="n">
        <v>32083.31</v>
      </c>
    </row>
    <row r="238">
      <c r="A238" t="inlineStr">
        <is>
          <t>CTR-00254</t>
        </is>
      </c>
      <c r="B238" t="n">
        <v>2326.3</v>
      </c>
    </row>
    <row r="239">
      <c r="A239" t="inlineStr">
        <is>
          <t>CTR-00255</t>
        </is>
      </c>
      <c r="B239" t="n">
        <v>24984.08</v>
      </c>
    </row>
    <row r="240">
      <c r="A240" t="inlineStr">
        <is>
          <t>CTR-00256</t>
        </is>
      </c>
      <c r="B240" t="n">
        <v>11674.82</v>
      </c>
    </row>
    <row r="241">
      <c r="A241" t="inlineStr">
        <is>
          <t>CTR-00257</t>
        </is>
      </c>
      <c r="B241" t="n">
        <v>21284.53</v>
      </c>
    </row>
    <row r="242">
      <c r="A242" t="inlineStr">
        <is>
          <t>CTR-00258</t>
        </is>
      </c>
      <c r="B242" t="n">
        <v>4539.81</v>
      </c>
    </row>
    <row r="243">
      <c r="A243" t="inlineStr">
        <is>
          <t>CTR-00259</t>
        </is>
      </c>
      <c r="B243" t="n">
        <v>57036.21</v>
      </c>
    </row>
    <row r="244">
      <c r="A244" t="inlineStr">
        <is>
          <t>CTR-00260</t>
        </is>
      </c>
      <c r="B244" t="n">
        <v>35261.85</v>
      </c>
    </row>
    <row r="245">
      <c r="A245" t="inlineStr">
        <is>
          <t>CTR-00261</t>
        </is>
      </c>
      <c r="B245" t="n">
        <v>38537.45</v>
      </c>
    </row>
    <row r="246">
      <c r="A246" t="inlineStr">
        <is>
          <t>CTR-00262</t>
        </is>
      </c>
      <c r="B246" t="n">
        <v>11657.1</v>
      </c>
    </row>
    <row r="247">
      <c r="A247" t="inlineStr">
        <is>
          <t>CTR-00263</t>
        </is>
      </c>
      <c r="B247" t="n">
        <v>37650.8</v>
      </c>
    </row>
    <row r="248">
      <c r="A248" t="inlineStr">
        <is>
          <t>CTR-00264</t>
        </is>
      </c>
      <c r="B248" t="n">
        <v>9659.4</v>
      </c>
    </row>
    <row r="249">
      <c r="A249" t="inlineStr">
        <is>
          <t>CTR-00265</t>
        </is>
      </c>
      <c r="B249" t="n">
        <v>22237.08</v>
      </c>
    </row>
    <row r="250">
      <c r="A250" t="inlineStr">
        <is>
          <t>CTR-00266</t>
        </is>
      </c>
      <c r="B250" t="n">
        <v>15495.15</v>
      </c>
    </row>
    <row r="251">
      <c r="A251" t="inlineStr">
        <is>
          <t>CTR-00267</t>
        </is>
      </c>
      <c r="B251" t="n">
        <v>8032.43</v>
      </c>
    </row>
    <row r="252">
      <c r="A252" t="inlineStr">
        <is>
          <t>CTR-00268</t>
        </is>
      </c>
      <c r="B252" t="n">
        <v>34819.52</v>
      </c>
    </row>
    <row r="253">
      <c r="A253" t="inlineStr">
        <is>
          <t>CTR-00269</t>
        </is>
      </c>
      <c r="B253" t="n">
        <v>10991.53</v>
      </c>
    </row>
    <row r="254">
      <c r="A254" t="inlineStr">
        <is>
          <t>CTR-00270</t>
        </is>
      </c>
      <c r="B254" t="n">
        <v>13028.8</v>
      </c>
    </row>
    <row r="255">
      <c r="A255" t="inlineStr">
        <is>
          <t>CTR-00271</t>
        </is>
      </c>
      <c r="B255" t="n">
        <v>17040.1</v>
      </c>
    </row>
    <row r="256">
      <c r="A256" t="inlineStr">
        <is>
          <t>CTR-00272</t>
        </is>
      </c>
      <c r="B256" t="n">
        <v>23665.6</v>
      </c>
    </row>
    <row r="257">
      <c r="A257" t="inlineStr">
        <is>
          <t>CTR-00273</t>
        </is>
      </c>
      <c r="B257" t="n">
        <v>11714.64</v>
      </c>
    </row>
    <row r="258">
      <c r="A258" t="inlineStr">
        <is>
          <t>CTR-00274</t>
        </is>
      </c>
      <c r="B258" t="n">
        <v>16255.04</v>
      </c>
    </row>
    <row r="259">
      <c r="A259" t="inlineStr">
        <is>
          <t>CTR-00276</t>
        </is>
      </c>
      <c r="B259" t="n">
        <v>49054.32</v>
      </c>
    </row>
    <row r="260">
      <c r="A260" t="inlineStr">
        <is>
          <t>CTR-00277</t>
        </is>
      </c>
      <c r="B260" t="n">
        <v>26325.53</v>
      </c>
    </row>
    <row r="261">
      <c r="A261" t="inlineStr">
        <is>
          <t>CTR-00278</t>
        </is>
      </c>
      <c r="B261" t="n">
        <v>16489.2</v>
      </c>
    </row>
    <row r="262">
      <c r="A262" t="inlineStr">
        <is>
          <t>CTR-00280</t>
        </is>
      </c>
      <c r="B262" t="n">
        <v>17982.77</v>
      </c>
    </row>
    <row r="263">
      <c r="A263" t="inlineStr">
        <is>
          <t>CTR-00282</t>
        </is>
      </c>
      <c r="B263" t="n">
        <v>38132.27</v>
      </c>
    </row>
    <row r="264">
      <c r="A264" t="inlineStr">
        <is>
          <t>CTR-00283</t>
        </is>
      </c>
      <c r="B264" t="n">
        <v>76115.79999999999</v>
      </c>
    </row>
    <row r="265">
      <c r="A265" t="inlineStr">
        <is>
          <t>CTR-00284</t>
        </is>
      </c>
      <c r="B265" t="n">
        <v>41830.1</v>
      </c>
    </row>
    <row r="266">
      <c r="A266" t="inlineStr">
        <is>
          <t>CTR-00286</t>
        </is>
      </c>
      <c r="B266" t="n">
        <v>5598.24</v>
      </c>
    </row>
    <row r="267">
      <c r="A267" t="inlineStr">
        <is>
          <t>CTR-00287</t>
        </is>
      </c>
      <c r="B267" t="n">
        <v>26250.4</v>
      </c>
    </row>
    <row r="268">
      <c r="A268" t="inlineStr">
        <is>
          <t>CTR-00288</t>
        </is>
      </c>
      <c r="B268" t="n">
        <v>15410.96</v>
      </c>
    </row>
    <row r="269">
      <c r="A269" t="inlineStr">
        <is>
          <t>CTR-00289</t>
        </is>
      </c>
      <c r="B269" t="n">
        <v>19769.3</v>
      </c>
    </row>
    <row r="270">
      <c r="A270" t="inlineStr">
        <is>
          <t>CTR-00290</t>
        </is>
      </c>
      <c r="B270" t="n">
        <v>3483.68</v>
      </c>
    </row>
    <row r="271">
      <c r="A271" t="inlineStr">
        <is>
          <t>CTR-00291</t>
        </is>
      </c>
      <c r="B271" t="n">
        <v>7620.16</v>
      </c>
    </row>
    <row r="272">
      <c r="A272" t="inlineStr">
        <is>
          <t>CTR-00292</t>
        </is>
      </c>
      <c r="B272" t="n">
        <v>5931.96</v>
      </c>
    </row>
    <row r="273">
      <c r="A273" t="inlineStr">
        <is>
          <t>CTR-00293</t>
        </is>
      </c>
      <c r="B273" t="n">
        <v>12414.64</v>
      </c>
    </row>
    <row r="274">
      <c r="A274" t="inlineStr">
        <is>
          <t>CTR-00294</t>
        </is>
      </c>
      <c r="B274" t="n">
        <v>7644</v>
      </c>
    </row>
    <row r="275">
      <c r="A275" t="inlineStr">
        <is>
          <t>CTR-00295</t>
        </is>
      </c>
      <c r="B275" t="n">
        <v>22916.34</v>
      </c>
    </row>
    <row r="276">
      <c r="A276" t="inlineStr">
        <is>
          <t>CTR-00296</t>
        </is>
      </c>
      <c r="B276" t="n">
        <v>50463.04</v>
      </c>
    </row>
    <row r="277">
      <c r="A277" t="inlineStr">
        <is>
          <t>CTR-00297</t>
        </is>
      </c>
      <c r="B277" t="n">
        <v>2672.07</v>
      </c>
    </row>
    <row r="278">
      <c r="A278" t="inlineStr">
        <is>
          <t>CTR-00298</t>
        </is>
      </c>
      <c r="B278" t="n">
        <v>5652.200000000001</v>
      </c>
    </row>
    <row r="279">
      <c r="A279" t="inlineStr">
        <is>
          <t>CTR-00299</t>
        </is>
      </c>
      <c r="B279" t="n">
        <v>48136.22</v>
      </c>
    </row>
    <row r="280">
      <c r="A280" t="inlineStr">
        <is>
          <t>CTR-00300</t>
        </is>
      </c>
      <c r="B280" t="n">
        <v>10261.79</v>
      </c>
    </row>
    <row r="281">
      <c r="A281" t="inlineStr">
        <is>
          <t>CTR-00301</t>
        </is>
      </c>
      <c r="B281" t="n">
        <v>6613.74</v>
      </c>
    </row>
    <row r="282">
      <c r="A282" t="inlineStr">
        <is>
          <t>CTR-00302</t>
        </is>
      </c>
      <c r="B282" t="n">
        <v>124838.56</v>
      </c>
    </row>
    <row r="283">
      <c r="A283" t="inlineStr">
        <is>
          <t>CTR-00303</t>
        </is>
      </c>
      <c r="B283" t="n">
        <v>44011.3</v>
      </c>
    </row>
    <row r="284">
      <c r="A284" t="inlineStr">
        <is>
          <t>CTR-00304</t>
        </is>
      </c>
      <c r="B284" t="n">
        <v>8780.82</v>
      </c>
    </row>
    <row r="285">
      <c r="A285" t="inlineStr">
        <is>
          <t>CTR-00305</t>
        </is>
      </c>
      <c r="B285" t="n">
        <v>7363.76</v>
      </c>
    </row>
    <row r="286">
      <c r="A286" t="inlineStr">
        <is>
          <t>CTR-00306</t>
        </is>
      </c>
      <c r="B286" t="n">
        <v>95572.22</v>
      </c>
    </row>
    <row r="287">
      <c r="A287" t="inlineStr">
        <is>
          <t>CTR-00307</t>
        </is>
      </c>
      <c r="B287" t="n">
        <v>5760.78</v>
      </c>
    </row>
    <row r="288">
      <c r="A288" t="inlineStr">
        <is>
          <t>CTR-00308</t>
        </is>
      </c>
      <c r="B288" t="n">
        <v>21599.66</v>
      </c>
    </row>
    <row r="289">
      <c r="A289" t="inlineStr">
        <is>
          <t>CTR-00309</t>
        </is>
      </c>
      <c r="B289" t="n">
        <v>29329.92</v>
      </c>
    </row>
    <row r="290">
      <c r="A290" t="inlineStr">
        <is>
          <t>CTR-00310</t>
        </is>
      </c>
      <c r="B290" t="n">
        <v>4052.88</v>
      </c>
    </row>
    <row r="291">
      <c r="A291" t="inlineStr">
        <is>
          <t>CTR-00311</t>
        </is>
      </c>
      <c r="B291" t="n">
        <v>2409.98</v>
      </c>
    </row>
    <row r="292">
      <c r="A292" t="inlineStr">
        <is>
          <t>CTR-00313</t>
        </is>
      </c>
      <c r="B292" t="n">
        <v>4547.64</v>
      </c>
    </row>
    <row r="293">
      <c r="A293" t="inlineStr">
        <is>
          <t>CTR-00314</t>
        </is>
      </c>
      <c r="B293" t="n">
        <v>18087.6</v>
      </c>
    </row>
    <row r="294">
      <c r="A294" t="inlineStr">
        <is>
          <t>CTR-00315</t>
        </is>
      </c>
      <c r="B294" t="n">
        <v>141198.91</v>
      </c>
    </row>
    <row r="295">
      <c r="A295" t="inlineStr">
        <is>
          <t>CTR-00316</t>
        </is>
      </c>
      <c r="B295" t="n">
        <v>45703.31</v>
      </c>
    </row>
    <row r="296">
      <c r="A296" t="inlineStr">
        <is>
          <t>CTR-00317</t>
        </is>
      </c>
      <c r="B296" t="n">
        <v>72038.39999999999</v>
      </c>
    </row>
    <row r="297">
      <c r="A297" t="inlineStr">
        <is>
          <t>CTR-00318</t>
        </is>
      </c>
      <c r="B297" t="n">
        <v>50908.27</v>
      </c>
    </row>
    <row r="298">
      <c r="A298" t="inlineStr">
        <is>
          <t>CTR-00319</t>
        </is>
      </c>
      <c r="B298" t="n">
        <v>8700.43</v>
      </c>
    </row>
    <row r="299">
      <c r="A299" t="inlineStr">
        <is>
          <t>CTR-00321</t>
        </is>
      </c>
      <c r="B299" t="n">
        <v>13201.44</v>
      </c>
    </row>
    <row r="300">
      <c r="A300" t="inlineStr">
        <is>
          <t>CTR-00322</t>
        </is>
      </c>
      <c r="B300" t="n">
        <v>5479.58</v>
      </c>
    </row>
    <row r="301">
      <c r="A301" t="inlineStr">
        <is>
          <t>CTR-00323</t>
        </is>
      </c>
      <c r="B301" t="n">
        <v>24520.1</v>
      </c>
    </row>
    <row r="302">
      <c r="A302" t="inlineStr">
        <is>
          <t>CTR-00325</t>
        </is>
      </c>
      <c r="B302" t="n">
        <v>16985.95</v>
      </c>
    </row>
    <row r="303">
      <c r="A303" t="inlineStr">
        <is>
          <t>CTR-00326</t>
        </is>
      </c>
      <c r="B303" t="n">
        <v>299.85</v>
      </c>
    </row>
    <row r="304">
      <c r="A304" t="inlineStr">
        <is>
          <t>CTR-00327</t>
        </is>
      </c>
      <c r="B304" t="n">
        <v>40186.52</v>
      </c>
    </row>
    <row r="305">
      <c r="A305" t="inlineStr">
        <is>
          <t>CTR-00328</t>
        </is>
      </c>
      <c r="B305" t="n">
        <v>18895.76</v>
      </c>
    </row>
    <row r="306">
      <c r="A306" t="inlineStr">
        <is>
          <t>CTR-00329</t>
        </is>
      </c>
      <c r="B306" t="n">
        <v>50933.48</v>
      </c>
    </row>
    <row r="307">
      <c r="A307" t="inlineStr">
        <is>
          <t>CTR-00330</t>
        </is>
      </c>
      <c r="B307" t="n">
        <v>7461.43</v>
      </c>
    </row>
    <row r="308">
      <c r="A308" t="inlineStr">
        <is>
          <t>CTR-00331</t>
        </is>
      </c>
      <c r="B308" t="n">
        <v>2926.53</v>
      </c>
    </row>
    <row r="309">
      <c r="A309" t="inlineStr">
        <is>
          <t>CTR-00332</t>
        </is>
      </c>
      <c r="B309" t="n">
        <v>21144.4</v>
      </c>
    </row>
    <row r="310">
      <c r="A310" t="inlineStr">
        <is>
          <t>CTR-00334</t>
        </is>
      </c>
      <c r="B310" t="n">
        <v>14494.59</v>
      </c>
    </row>
    <row r="311">
      <c r="A311" t="inlineStr">
        <is>
          <t>CTR-00336</t>
        </is>
      </c>
      <c r="B311" t="n">
        <v>1588.46</v>
      </c>
    </row>
    <row r="312">
      <c r="A312" t="inlineStr">
        <is>
          <t>CTR-00337</t>
        </is>
      </c>
      <c r="B312" t="n">
        <v>809.29</v>
      </c>
    </row>
    <row r="313">
      <c r="A313" t="inlineStr">
        <is>
          <t>CTR-00338</t>
        </is>
      </c>
      <c r="B313" t="n">
        <v>136340.16</v>
      </c>
    </row>
    <row r="314">
      <c r="A314" t="inlineStr">
        <is>
          <t>CTR-00339</t>
        </is>
      </c>
      <c r="B314" t="n">
        <v>9390.52</v>
      </c>
    </row>
    <row r="315">
      <c r="A315" t="inlineStr">
        <is>
          <t>CTR-00340</t>
        </is>
      </c>
      <c r="B315" t="n">
        <v>6605.52</v>
      </c>
    </row>
    <row r="316">
      <c r="A316" t="inlineStr">
        <is>
          <t>CTR-00341</t>
        </is>
      </c>
      <c r="B316" t="n">
        <v>65435.75999999999</v>
      </c>
    </row>
    <row r="317">
      <c r="A317" t="inlineStr">
        <is>
          <t>CTR-00342</t>
        </is>
      </c>
      <c r="B317" t="n">
        <v>18526.09</v>
      </c>
    </row>
    <row r="318">
      <c r="A318" t="inlineStr">
        <is>
          <t>CTR-00343</t>
        </is>
      </c>
      <c r="B318" t="n">
        <v>94169.34</v>
      </c>
    </row>
    <row r="319">
      <c r="A319" t="inlineStr">
        <is>
          <t>CTR-00344</t>
        </is>
      </c>
      <c r="B319" t="n">
        <v>21133.2</v>
      </c>
    </row>
    <row r="320">
      <c r="A320" t="inlineStr">
        <is>
          <t>CTR-00345</t>
        </is>
      </c>
      <c r="B320" t="n">
        <v>595.95</v>
      </c>
    </row>
    <row r="321">
      <c r="A321" t="inlineStr">
        <is>
          <t>CTR-00346</t>
        </is>
      </c>
      <c r="B321" t="n">
        <v>3903.39</v>
      </c>
    </row>
    <row r="322">
      <c r="A322" t="inlineStr">
        <is>
          <t>CTR-00347</t>
        </is>
      </c>
      <c r="B322" t="n">
        <v>13621.2</v>
      </c>
    </row>
    <row r="323">
      <c r="A323" t="inlineStr">
        <is>
          <t>CTR-00348</t>
        </is>
      </c>
      <c r="B323" t="n">
        <v>53137</v>
      </c>
    </row>
    <row r="324">
      <c r="A324" t="inlineStr">
        <is>
          <t>CTR-00349</t>
        </is>
      </c>
      <c r="B324" t="n">
        <v>55078.38</v>
      </c>
    </row>
    <row r="325">
      <c r="A325" t="inlineStr">
        <is>
          <t>CTR-00350</t>
        </is>
      </c>
      <c r="B325" t="n">
        <v>20143.98</v>
      </c>
    </row>
    <row r="326">
      <c r="A326" t="inlineStr">
        <is>
          <t>CTR-00351</t>
        </is>
      </c>
      <c r="B326" t="n">
        <v>13013.22</v>
      </c>
    </row>
    <row r="327">
      <c r="A327" t="inlineStr">
        <is>
          <t>CTR-00352</t>
        </is>
      </c>
      <c r="B327" t="n">
        <v>102541.56</v>
      </c>
    </row>
    <row r="328">
      <c r="A328" t="inlineStr">
        <is>
          <t>CTR-00353</t>
        </is>
      </c>
      <c r="B328" t="n">
        <v>24229.22</v>
      </c>
    </row>
    <row r="329">
      <c r="A329" t="inlineStr">
        <is>
          <t>CTR-00354</t>
        </is>
      </c>
      <c r="B329" t="n">
        <v>734.66</v>
      </c>
    </row>
    <row r="330">
      <c r="A330" t="inlineStr">
        <is>
          <t>CTR-00355</t>
        </is>
      </c>
      <c r="B330" t="n">
        <v>42243.99</v>
      </c>
    </row>
    <row r="331">
      <c r="A331" t="inlineStr">
        <is>
          <t>CTR-00356</t>
        </is>
      </c>
      <c r="B331" t="n">
        <v>22564.41</v>
      </c>
    </row>
    <row r="332">
      <c r="A332" t="inlineStr">
        <is>
          <t>CTR-00357</t>
        </is>
      </c>
      <c r="B332" t="n">
        <v>78357.70999999999</v>
      </c>
    </row>
    <row r="333">
      <c r="A333" t="inlineStr">
        <is>
          <t>CTR-00358</t>
        </is>
      </c>
      <c r="B333" t="n">
        <v>19335.69</v>
      </c>
    </row>
    <row r="334">
      <c r="A334" t="inlineStr">
        <is>
          <t>CTR-00359</t>
        </is>
      </c>
      <c r="B334" t="n">
        <v>3708.06</v>
      </c>
    </row>
    <row r="335">
      <c r="A335" t="inlineStr">
        <is>
          <t>CTR-00360</t>
        </is>
      </c>
      <c r="B335" t="n">
        <v>74980.45999999999</v>
      </c>
    </row>
    <row r="336">
      <c r="A336" t="inlineStr">
        <is>
          <t>CTR-00362</t>
        </is>
      </c>
      <c r="B336" t="n">
        <v>79588.08</v>
      </c>
    </row>
    <row r="337">
      <c r="A337" t="inlineStr">
        <is>
          <t>CTR-00363</t>
        </is>
      </c>
      <c r="B337" t="n">
        <v>23545.08</v>
      </c>
    </row>
    <row r="338">
      <c r="A338" t="inlineStr">
        <is>
          <t>CTR-00364</t>
        </is>
      </c>
      <c r="B338" t="n">
        <v>4276.23</v>
      </c>
    </row>
    <row r="339">
      <c r="A339" t="inlineStr">
        <is>
          <t>CTR-00365</t>
        </is>
      </c>
      <c r="B339" t="n">
        <v>18402.66</v>
      </c>
    </row>
    <row r="340">
      <c r="A340" t="inlineStr">
        <is>
          <t>CTR-00366</t>
        </is>
      </c>
      <c r="B340" t="n">
        <v>1748.76</v>
      </c>
    </row>
    <row r="341">
      <c r="A341" t="inlineStr">
        <is>
          <t>CTR-00367</t>
        </is>
      </c>
      <c r="B341" t="n">
        <v>560.03</v>
      </c>
    </row>
    <row r="342">
      <c r="A342" t="inlineStr">
        <is>
          <t>CTR-00368</t>
        </is>
      </c>
      <c r="B342" t="n">
        <v>19317.15</v>
      </c>
    </row>
    <row r="343">
      <c r="A343" t="inlineStr">
        <is>
          <t>CTR-00369</t>
        </is>
      </c>
      <c r="B343" t="n">
        <v>6986.18</v>
      </c>
    </row>
    <row r="344">
      <c r="A344" t="inlineStr">
        <is>
          <t>CTR-00370</t>
        </is>
      </c>
      <c r="B344" t="n">
        <v>17758.91</v>
      </c>
    </row>
    <row r="345">
      <c r="A345" t="inlineStr">
        <is>
          <t>CTR-00371</t>
        </is>
      </c>
      <c r="B345" t="n">
        <v>14394.82</v>
      </c>
    </row>
    <row r="346">
      <c r="A346" t="inlineStr">
        <is>
          <t>CTR-00372</t>
        </is>
      </c>
      <c r="B346" t="n">
        <v>40533.66</v>
      </c>
    </row>
    <row r="347">
      <c r="A347" t="inlineStr">
        <is>
          <t>CTR-00373</t>
        </is>
      </c>
      <c r="B347" t="n">
        <v>16703.1</v>
      </c>
    </row>
    <row r="348">
      <c r="A348" t="inlineStr">
        <is>
          <t>CTR-00374</t>
        </is>
      </c>
      <c r="B348" t="n">
        <v>31665.33</v>
      </c>
    </row>
    <row r="349">
      <c r="A349" t="inlineStr">
        <is>
          <t>CTR-00375</t>
        </is>
      </c>
      <c r="B349" t="n">
        <v>66675</v>
      </c>
    </row>
    <row r="350">
      <c r="A350" t="inlineStr">
        <is>
          <t>CTR-00376</t>
        </is>
      </c>
      <c r="B350" t="n">
        <v>5638.38</v>
      </c>
    </row>
    <row r="351">
      <c r="A351" t="inlineStr">
        <is>
          <t>CTR-00377</t>
        </is>
      </c>
      <c r="B351" t="n">
        <v>1944.52</v>
      </c>
    </row>
    <row r="352">
      <c r="A352" t="inlineStr">
        <is>
          <t>CTR-00378</t>
        </is>
      </c>
      <c r="B352" t="n">
        <v>21497.44</v>
      </c>
    </row>
    <row r="353">
      <c r="A353" t="inlineStr">
        <is>
          <t>CTR-00379</t>
        </is>
      </c>
      <c r="B353" t="n">
        <v>30304.43</v>
      </c>
    </row>
    <row r="354">
      <c r="A354" t="inlineStr">
        <is>
          <t>CTR-00380</t>
        </is>
      </c>
      <c r="B354" t="n">
        <v>22769.64</v>
      </c>
    </row>
    <row r="355">
      <c r="A355" t="inlineStr">
        <is>
          <t>CTR-00381</t>
        </is>
      </c>
      <c r="B355" t="n">
        <v>7828.200000000001</v>
      </c>
    </row>
    <row r="356">
      <c r="A356" t="inlineStr">
        <is>
          <t>CTR-00382</t>
        </is>
      </c>
      <c r="B356" t="n">
        <v>5863.59</v>
      </c>
    </row>
    <row r="357">
      <c r="A357" t="inlineStr">
        <is>
          <t>CTR-00383</t>
        </is>
      </c>
      <c r="B357" t="n">
        <v>14138.1</v>
      </c>
    </row>
    <row r="358">
      <c r="A358" t="inlineStr">
        <is>
          <t>CTR-00384</t>
        </is>
      </c>
      <c r="B358" t="n">
        <v>11878.3</v>
      </c>
    </row>
    <row r="359">
      <c r="A359" t="inlineStr">
        <is>
          <t>CTR-00385</t>
        </is>
      </c>
      <c r="B359" t="n">
        <v>1241.48</v>
      </c>
    </row>
    <row r="360">
      <c r="A360" t="inlineStr">
        <is>
          <t>CTR-00387</t>
        </is>
      </c>
      <c r="B360" t="n">
        <v>8700.300000000001</v>
      </c>
    </row>
    <row r="361">
      <c r="A361" t="inlineStr">
        <is>
          <t>CTR-00388</t>
        </is>
      </c>
      <c r="B361" t="n">
        <v>8409.1</v>
      </c>
    </row>
    <row r="362">
      <c r="A362" t="inlineStr">
        <is>
          <t>CTR-00389</t>
        </is>
      </c>
      <c r="B362" t="n">
        <v>12970.5</v>
      </c>
    </row>
    <row r="363">
      <c r="A363" t="inlineStr">
        <is>
          <t>CTR-00390</t>
        </is>
      </c>
      <c r="B363" t="n">
        <v>74017.78999999999</v>
      </c>
    </row>
    <row r="364">
      <c r="A364" t="inlineStr">
        <is>
          <t>CTR-00391</t>
        </is>
      </c>
      <c r="B364" t="n">
        <v>27239.73</v>
      </c>
    </row>
    <row r="365">
      <c r="A365" t="inlineStr">
        <is>
          <t>CTR-00392</t>
        </is>
      </c>
      <c r="B365" t="n">
        <v>59786.73</v>
      </c>
    </row>
    <row r="366">
      <c r="A366" t="inlineStr">
        <is>
          <t>CTR-00393</t>
        </is>
      </c>
      <c r="B366" t="n">
        <v>44091.74</v>
      </c>
    </row>
    <row r="367">
      <c r="A367" t="inlineStr">
        <is>
          <t>CTR-00394</t>
        </is>
      </c>
      <c r="B367" t="n">
        <v>15706.44</v>
      </c>
    </row>
    <row r="368">
      <c r="A368" t="inlineStr">
        <is>
          <t>CTR-00395</t>
        </is>
      </c>
      <c r="B368" t="n">
        <v>24658.76</v>
      </c>
    </row>
    <row r="369">
      <c r="A369" t="inlineStr">
        <is>
          <t>CTR-00396</t>
        </is>
      </c>
      <c r="B369" t="n">
        <v>38524.98</v>
      </c>
    </row>
    <row r="370">
      <c r="A370" t="inlineStr">
        <is>
          <t>CTR-00397</t>
        </is>
      </c>
      <c r="B370" t="n">
        <v>26246.31</v>
      </c>
    </row>
    <row r="371">
      <c r="A371" t="inlineStr">
        <is>
          <t>CTR-00398</t>
        </is>
      </c>
      <c r="B371" t="n">
        <v>20804.16</v>
      </c>
    </row>
    <row r="372">
      <c r="A372" t="inlineStr">
        <is>
          <t>CTR-00400</t>
        </is>
      </c>
      <c r="B372" t="n">
        <v>7233.02</v>
      </c>
    </row>
    <row r="373">
      <c r="A373" t="inlineStr">
        <is>
          <t>CTR-00401</t>
        </is>
      </c>
      <c r="B373" t="n">
        <v>31042.03</v>
      </c>
    </row>
    <row r="374">
      <c r="A374" t="inlineStr">
        <is>
          <t>CTR-00402</t>
        </is>
      </c>
      <c r="B374" t="n">
        <v>7504.48</v>
      </c>
    </row>
    <row r="375">
      <c r="A375" t="inlineStr">
        <is>
          <t>CTR-00404</t>
        </is>
      </c>
      <c r="B375" t="n">
        <v>61122.6</v>
      </c>
    </row>
    <row r="376">
      <c r="A376" t="inlineStr">
        <is>
          <t>CTR-00405</t>
        </is>
      </c>
      <c r="B376" t="n">
        <v>62891.39999999999</v>
      </c>
    </row>
    <row r="377">
      <c r="A377" t="inlineStr">
        <is>
          <t>CTR-00406</t>
        </is>
      </c>
      <c r="B377" t="n">
        <v>34907.37</v>
      </c>
    </row>
    <row r="378">
      <c r="A378" t="inlineStr">
        <is>
          <t>CTR-00407</t>
        </is>
      </c>
      <c r="B378" t="n">
        <v>16702.12</v>
      </c>
    </row>
    <row r="379">
      <c r="A379" t="inlineStr">
        <is>
          <t>CTR-00408</t>
        </is>
      </c>
      <c r="B379" t="n">
        <v>21993.73</v>
      </c>
    </row>
    <row r="380">
      <c r="A380" t="inlineStr">
        <is>
          <t>CTR-00409</t>
        </is>
      </c>
      <c r="B380" t="n">
        <v>8567.040000000001</v>
      </c>
    </row>
    <row r="381">
      <c r="A381" t="inlineStr">
        <is>
          <t>CTR-00410</t>
        </is>
      </c>
      <c r="B381" t="n">
        <v>5600.09</v>
      </c>
    </row>
    <row r="382">
      <c r="A382" t="inlineStr">
        <is>
          <t>CTR-00411</t>
        </is>
      </c>
      <c r="B382" t="n">
        <v>8784.16</v>
      </c>
    </row>
    <row r="383">
      <c r="A383" t="inlineStr">
        <is>
          <t>CTR-00412</t>
        </is>
      </c>
      <c r="B383" t="n">
        <v>6073.7</v>
      </c>
    </row>
    <row r="384">
      <c r="A384" t="inlineStr">
        <is>
          <t>CTR-00413</t>
        </is>
      </c>
      <c r="B384" t="n">
        <v>14097.66</v>
      </c>
    </row>
    <row r="385">
      <c r="A385" t="inlineStr">
        <is>
          <t>CTR-00414</t>
        </is>
      </c>
      <c r="B385" t="n">
        <v>7099.11</v>
      </c>
    </row>
    <row r="386">
      <c r="A386" t="inlineStr">
        <is>
          <t>CTR-00415</t>
        </is>
      </c>
      <c r="B386" t="n">
        <v>24261.72</v>
      </c>
    </row>
    <row r="387">
      <c r="A387" t="inlineStr">
        <is>
          <t>CTR-00416</t>
        </is>
      </c>
      <c r="B387" t="n">
        <v>25464.6</v>
      </c>
    </row>
    <row r="388">
      <c r="A388" t="inlineStr">
        <is>
          <t>CTR-00417</t>
        </is>
      </c>
      <c r="B388" t="n">
        <v>10646.61</v>
      </c>
    </row>
    <row r="389">
      <c r="A389" t="inlineStr">
        <is>
          <t>CTR-00418</t>
        </is>
      </c>
      <c r="B389" t="n">
        <v>25399.12</v>
      </c>
    </row>
    <row r="390">
      <c r="A390" t="inlineStr">
        <is>
          <t>CTR-00419</t>
        </is>
      </c>
      <c r="B390" t="n">
        <v>29554.35</v>
      </c>
    </row>
    <row r="391">
      <c r="A391" t="inlineStr">
        <is>
          <t>CTR-00420</t>
        </is>
      </c>
      <c r="B391" t="n">
        <v>103580.38</v>
      </c>
    </row>
    <row r="392">
      <c r="A392" t="inlineStr">
        <is>
          <t>CTR-00421</t>
        </is>
      </c>
      <c r="B392" t="n">
        <v>1575.5</v>
      </c>
    </row>
    <row r="393">
      <c r="A393" t="inlineStr">
        <is>
          <t>CTR-00422</t>
        </is>
      </c>
      <c r="B393" t="n">
        <v>2983.4</v>
      </c>
    </row>
    <row r="394">
      <c r="A394" t="inlineStr">
        <is>
          <t>CTR-00423</t>
        </is>
      </c>
      <c r="B394" t="n">
        <v>3537.63</v>
      </c>
    </row>
    <row r="395">
      <c r="A395" t="inlineStr">
        <is>
          <t>CTR-00424</t>
        </is>
      </c>
      <c r="B395" t="n">
        <v>55079.49</v>
      </c>
    </row>
    <row r="396">
      <c r="A396" t="inlineStr">
        <is>
          <t>CTR-00425</t>
        </is>
      </c>
      <c r="B396" t="n">
        <v>62705.52</v>
      </c>
    </row>
    <row r="397">
      <c r="A397" t="inlineStr">
        <is>
          <t>CTR-00426</t>
        </is>
      </c>
      <c r="B397" t="n">
        <v>18173.37</v>
      </c>
    </row>
    <row r="398">
      <c r="A398" t="inlineStr">
        <is>
          <t>CTR-00427</t>
        </is>
      </c>
      <c r="B398" t="n">
        <v>24858.6</v>
      </c>
    </row>
    <row r="399">
      <c r="A399" t="inlineStr">
        <is>
          <t>CTR-00428</t>
        </is>
      </c>
      <c r="B399" t="n">
        <v>40692.45</v>
      </c>
    </row>
    <row r="400">
      <c r="A400" t="inlineStr">
        <is>
          <t>CTR-00429</t>
        </is>
      </c>
      <c r="B400" t="n">
        <v>23800.15</v>
      </c>
    </row>
    <row r="401">
      <c r="A401" t="inlineStr">
        <is>
          <t>CTR-00430</t>
        </is>
      </c>
      <c r="B401" t="n">
        <v>4172.34</v>
      </c>
    </row>
    <row r="402">
      <c r="A402" t="inlineStr">
        <is>
          <t>CTR-00431</t>
        </is>
      </c>
      <c r="B402" t="n">
        <v>35149.4</v>
      </c>
    </row>
    <row r="403">
      <c r="A403" t="inlineStr">
        <is>
          <t>CTR-00432</t>
        </is>
      </c>
      <c r="B403" t="n">
        <v>47076.62</v>
      </c>
    </row>
    <row r="404">
      <c r="A404" t="inlineStr">
        <is>
          <t>CTR-00433</t>
        </is>
      </c>
      <c r="B404" t="n">
        <v>19061.44</v>
      </c>
    </row>
    <row r="405">
      <c r="A405" t="inlineStr">
        <is>
          <t>CTR-00434</t>
        </is>
      </c>
      <c r="B405" t="n">
        <v>9311.779999999999</v>
      </c>
    </row>
    <row r="406">
      <c r="A406" t="inlineStr">
        <is>
          <t>CTR-00435</t>
        </is>
      </c>
      <c r="B406" t="n">
        <v>40177.1</v>
      </c>
    </row>
    <row r="407">
      <c r="A407" t="inlineStr">
        <is>
          <t>CTR-00436</t>
        </is>
      </c>
      <c r="B407" t="n">
        <v>44653.76</v>
      </c>
    </row>
    <row r="408">
      <c r="A408" t="inlineStr">
        <is>
          <t>CTR-00437</t>
        </is>
      </c>
      <c r="B408" t="n">
        <v>6454.6</v>
      </c>
    </row>
    <row r="409">
      <c r="A409" t="inlineStr">
        <is>
          <t>CTR-00438</t>
        </is>
      </c>
      <c r="B409" t="n">
        <v>10324.32</v>
      </c>
    </row>
    <row r="410">
      <c r="A410" t="inlineStr">
        <is>
          <t>CTR-00439</t>
        </is>
      </c>
      <c r="B410" t="n">
        <v>21921.38</v>
      </c>
    </row>
    <row r="411">
      <c r="A411" t="inlineStr">
        <is>
          <t>CTR-00440</t>
        </is>
      </c>
      <c r="B411" t="n">
        <v>52237.76</v>
      </c>
    </row>
    <row r="412">
      <c r="A412" t="inlineStr">
        <is>
          <t>CTR-00441</t>
        </is>
      </c>
      <c r="B412" t="n">
        <v>102507.51</v>
      </c>
    </row>
    <row r="413">
      <c r="A413" t="inlineStr">
        <is>
          <t>CTR-00442</t>
        </is>
      </c>
      <c r="B413" t="n">
        <v>31822.2</v>
      </c>
    </row>
    <row r="414">
      <c r="A414" t="inlineStr">
        <is>
          <t>CTR-00443</t>
        </is>
      </c>
      <c r="B414" t="n">
        <v>21696.1</v>
      </c>
    </row>
    <row r="415">
      <c r="A415" t="inlineStr">
        <is>
          <t>CTR-00444</t>
        </is>
      </c>
      <c r="B415" t="n">
        <v>7040</v>
      </c>
    </row>
    <row r="416">
      <c r="A416" t="inlineStr">
        <is>
          <t>CTR-00445</t>
        </is>
      </c>
      <c r="B416" t="n">
        <v>38202.12</v>
      </c>
    </row>
    <row r="417">
      <c r="A417" t="inlineStr">
        <is>
          <t>CTR-00446</t>
        </is>
      </c>
      <c r="B417" t="n">
        <v>4501.58</v>
      </c>
    </row>
    <row r="418">
      <c r="A418" t="inlineStr">
        <is>
          <t>CTR-00447</t>
        </is>
      </c>
      <c r="B418" t="n">
        <v>7521.76</v>
      </c>
    </row>
    <row r="419">
      <c r="A419" t="inlineStr">
        <is>
          <t>CTR-00448</t>
        </is>
      </c>
      <c r="B419" t="n">
        <v>47291.27</v>
      </c>
    </row>
    <row r="420">
      <c r="A420" t="inlineStr">
        <is>
          <t>CTR-00449</t>
        </is>
      </c>
      <c r="B420" t="n">
        <v>59475.45</v>
      </c>
    </row>
    <row r="421">
      <c r="A421" t="inlineStr">
        <is>
          <t>CTR-00450</t>
        </is>
      </c>
      <c r="B421" t="n">
        <v>19835.15</v>
      </c>
    </row>
    <row r="422">
      <c r="A422" t="inlineStr">
        <is>
          <t>CTR-00451</t>
        </is>
      </c>
      <c r="B422" t="n">
        <v>5323.5</v>
      </c>
    </row>
    <row r="423">
      <c r="A423" t="inlineStr">
        <is>
          <t>CTR-00452</t>
        </is>
      </c>
      <c r="B423" t="n">
        <v>1518.52</v>
      </c>
    </row>
    <row r="424">
      <c r="A424" t="inlineStr">
        <is>
          <t>CTR-00453</t>
        </is>
      </c>
      <c r="B424" t="n">
        <v>32744.13</v>
      </c>
    </row>
    <row r="425">
      <c r="A425" t="inlineStr">
        <is>
          <t>CTR-00454</t>
        </is>
      </c>
      <c r="B425" t="n">
        <v>29823.69</v>
      </c>
    </row>
    <row r="426">
      <c r="A426" t="inlineStr">
        <is>
          <t>CTR-00455</t>
        </is>
      </c>
      <c r="B426" t="n">
        <v>18722.46</v>
      </c>
    </row>
    <row r="427">
      <c r="A427" t="inlineStr">
        <is>
          <t>CTR-00456</t>
        </is>
      </c>
      <c r="B427" t="n">
        <v>6299.37</v>
      </c>
    </row>
    <row r="428">
      <c r="A428" t="inlineStr">
        <is>
          <t>CTR-00457</t>
        </is>
      </c>
      <c r="B428" t="n">
        <v>5142.02</v>
      </c>
    </row>
    <row r="429">
      <c r="A429" t="inlineStr">
        <is>
          <t>CTR-00458</t>
        </is>
      </c>
      <c r="B429" t="n">
        <v>6227.97</v>
      </c>
    </row>
    <row r="430">
      <c r="A430" t="inlineStr">
        <is>
          <t>CTR-00459</t>
        </is>
      </c>
      <c r="B430" t="n">
        <v>11824.8</v>
      </c>
    </row>
    <row r="431">
      <c r="A431" t="inlineStr">
        <is>
          <t>CTR-00460</t>
        </is>
      </c>
      <c r="B431" t="n">
        <v>11919</v>
      </c>
    </row>
    <row r="432">
      <c r="A432" t="inlineStr">
        <is>
          <t>CTR-00461</t>
        </is>
      </c>
      <c r="B432" t="n">
        <v>18612.02</v>
      </c>
    </row>
    <row r="433">
      <c r="A433" t="inlineStr">
        <is>
          <t>CTR-00462</t>
        </is>
      </c>
      <c r="B433" t="n">
        <v>52694.38</v>
      </c>
    </row>
    <row r="434">
      <c r="A434" t="inlineStr">
        <is>
          <t>CTR-00463</t>
        </is>
      </c>
      <c r="B434" t="n">
        <v>1644.02</v>
      </c>
    </row>
    <row r="435">
      <c r="A435" t="inlineStr">
        <is>
          <t>CTR-00464</t>
        </is>
      </c>
      <c r="B435" t="n">
        <v>37701.62</v>
      </c>
    </row>
    <row r="436">
      <c r="A436" t="inlineStr">
        <is>
          <t>CTR-00465</t>
        </is>
      </c>
      <c r="B436" t="n">
        <v>52226.42</v>
      </c>
    </row>
    <row r="437">
      <c r="A437" t="inlineStr">
        <is>
          <t>CTR-00466</t>
        </is>
      </c>
      <c r="B437" t="n">
        <v>22402.9</v>
      </c>
    </row>
    <row r="438">
      <c r="A438" t="inlineStr">
        <is>
          <t>CTR-00467</t>
        </is>
      </c>
      <c r="B438" t="n">
        <v>14675.92</v>
      </c>
    </row>
    <row r="439">
      <c r="A439" t="inlineStr">
        <is>
          <t>CTR-00468</t>
        </is>
      </c>
      <c r="B439" t="n">
        <v>40607.16</v>
      </c>
    </row>
    <row r="440">
      <c r="A440" t="inlineStr">
        <is>
          <t>CTR-00469</t>
        </is>
      </c>
      <c r="B440" t="n">
        <v>37180.8</v>
      </c>
    </row>
    <row r="441">
      <c r="A441" t="inlineStr">
        <is>
          <t>CTR-00470</t>
        </is>
      </c>
      <c r="B441" t="n">
        <v>6119.32</v>
      </c>
    </row>
    <row r="442">
      <c r="A442" t="inlineStr">
        <is>
          <t>CTR-00471</t>
        </is>
      </c>
      <c r="B442" t="n">
        <v>20445.81</v>
      </c>
    </row>
    <row r="443">
      <c r="A443" t="inlineStr">
        <is>
          <t>CTR-00472</t>
        </is>
      </c>
      <c r="B443" t="n">
        <v>5237.76</v>
      </c>
    </row>
    <row r="444">
      <c r="A444" t="inlineStr">
        <is>
          <t>CTR-00473</t>
        </is>
      </c>
      <c r="B444" t="n">
        <v>93430.17999999999</v>
      </c>
    </row>
    <row r="445">
      <c r="A445" t="inlineStr">
        <is>
          <t>CTR-00474</t>
        </is>
      </c>
      <c r="B445" t="n">
        <v>5200.02</v>
      </c>
    </row>
    <row r="446">
      <c r="A446" t="inlineStr">
        <is>
          <t>CTR-00475</t>
        </is>
      </c>
      <c r="B446" t="n">
        <v>4016.05</v>
      </c>
    </row>
    <row r="447">
      <c r="A447" t="inlineStr">
        <is>
          <t>CTR-00476</t>
        </is>
      </c>
      <c r="B447" t="n">
        <v>21827.4</v>
      </c>
    </row>
    <row r="448">
      <c r="A448" t="inlineStr">
        <is>
          <t>CTR-00478</t>
        </is>
      </c>
      <c r="B448" t="n">
        <v>10416.14</v>
      </c>
    </row>
    <row r="449">
      <c r="A449" t="inlineStr">
        <is>
          <t>CTR-00479</t>
        </is>
      </c>
      <c r="B449" t="n">
        <v>4922.39</v>
      </c>
    </row>
    <row r="450">
      <c r="A450" t="inlineStr">
        <is>
          <t>CTR-00480</t>
        </is>
      </c>
      <c r="B450" t="n">
        <v>52405.89999999999</v>
      </c>
    </row>
    <row r="451">
      <c r="A451" t="inlineStr">
        <is>
          <t>CTR-00481</t>
        </is>
      </c>
      <c r="B451" t="n">
        <v>39796.6</v>
      </c>
    </row>
    <row r="452">
      <c r="A452" t="inlineStr">
        <is>
          <t>CTR-00482</t>
        </is>
      </c>
      <c r="B452" t="n">
        <v>15675.76</v>
      </c>
    </row>
    <row r="453">
      <c r="A453" t="inlineStr">
        <is>
          <t>CTR-00483</t>
        </is>
      </c>
      <c r="B453" t="n">
        <v>21798.51</v>
      </c>
    </row>
    <row r="454">
      <c r="A454" t="inlineStr">
        <is>
          <t>CTR-00484</t>
        </is>
      </c>
      <c r="B454" t="n">
        <v>33326.63</v>
      </c>
    </row>
    <row r="455">
      <c r="A455" t="inlineStr">
        <is>
          <t>CTR-00485</t>
        </is>
      </c>
      <c r="B455" t="n">
        <v>45887.52</v>
      </c>
    </row>
    <row r="456">
      <c r="A456" t="inlineStr">
        <is>
          <t>CTR-00487</t>
        </is>
      </c>
      <c r="B456" t="n">
        <v>11941.45</v>
      </c>
    </row>
    <row r="457">
      <c r="A457" t="inlineStr">
        <is>
          <t>CTR-00488</t>
        </is>
      </c>
      <c r="B457" t="n">
        <v>13675.17</v>
      </c>
    </row>
    <row r="458">
      <c r="A458" t="inlineStr">
        <is>
          <t>CTR-00489</t>
        </is>
      </c>
      <c r="B458" t="n">
        <v>15350.5</v>
      </c>
    </row>
    <row r="459">
      <c r="A459" t="inlineStr">
        <is>
          <t>CTR-00490</t>
        </is>
      </c>
      <c r="B459" t="n">
        <v>14709</v>
      </c>
    </row>
    <row r="460">
      <c r="A460" t="inlineStr">
        <is>
          <t>CTR-00491</t>
        </is>
      </c>
      <c r="B460" t="n">
        <v>15269.94</v>
      </c>
    </row>
    <row r="461">
      <c r="A461" t="inlineStr">
        <is>
          <t>CTR-00492</t>
        </is>
      </c>
      <c r="B461" t="n">
        <v>14152.33</v>
      </c>
    </row>
    <row r="462">
      <c r="A462" t="inlineStr">
        <is>
          <t>CTR-00493</t>
        </is>
      </c>
      <c r="B462" t="n">
        <v>99378.84000000001</v>
      </c>
    </row>
    <row r="463">
      <c r="A463" t="inlineStr">
        <is>
          <t>CTR-00494</t>
        </is>
      </c>
      <c r="B463" t="n">
        <v>26787.6</v>
      </c>
    </row>
    <row r="464">
      <c r="A464" t="inlineStr">
        <is>
          <t>CTR-00495</t>
        </is>
      </c>
      <c r="B464" t="n">
        <v>21968.46</v>
      </c>
    </row>
    <row r="465">
      <c r="A465" t="inlineStr">
        <is>
          <t>CTR-00496</t>
        </is>
      </c>
      <c r="B465" t="n">
        <v>14034.43</v>
      </c>
    </row>
    <row r="466">
      <c r="A466" t="inlineStr">
        <is>
          <t>CTR-00497</t>
        </is>
      </c>
      <c r="B466" t="n">
        <v>48137</v>
      </c>
    </row>
    <row r="467">
      <c r="A467" t="inlineStr">
        <is>
          <t>CTR-00498</t>
        </is>
      </c>
      <c r="B467" t="n">
        <v>3753.72</v>
      </c>
    </row>
    <row r="468">
      <c r="A468" t="inlineStr">
        <is>
          <t>CTR-00499</t>
        </is>
      </c>
      <c r="B468" t="n">
        <v>21618.9</v>
      </c>
    </row>
    <row r="469">
      <c r="A469" t="inlineStr">
        <is>
          <t>CTR-00500</t>
        </is>
      </c>
      <c r="B469" t="n">
        <v>32870.4</v>
      </c>
    </row>
    <row r="470">
      <c r="A470" t="inlineStr">
        <is>
          <t>CTR-00501</t>
        </is>
      </c>
      <c r="B470" t="n">
        <v>18968.88</v>
      </c>
    </row>
    <row r="471">
      <c r="A471" t="inlineStr">
        <is>
          <t>CTR-00502</t>
        </is>
      </c>
      <c r="B471" t="n">
        <v>16913.96</v>
      </c>
    </row>
    <row r="472">
      <c r="A472" t="inlineStr">
        <is>
          <t>CTR-00504</t>
        </is>
      </c>
      <c r="B472" t="n">
        <v>42919.89</v>
      </c>
    </row>
    <row r="473">
      <c r="A473" t="inlineStr">
        <is>
          <t>CTR-00505</t>
        </is>
      </c>
      <c r="B473" t="n">
        <v>9615.480000000001</v>
      </c>
    </row>
    <row r="474">
      <c r="A474" t="inlineStr">
        <is>
          <t>CTR-00506</t>
        </is>
      </c>
      <c r="B474" t="n">
        <v>3227.76</v>
      </c>
    </row>
    <row r="475">
      <c r="A475" t="inlineStr">
        <is>
          <t>CTR-00507</t>
        </is>
      </c>
      <c r="B475" t="n">
        <v>2792.36</v>
      </c>
    </row>
    <row r="476">
      <c r="A476" t="inlineStr">
        <is>
          <t>CTR-00508</t>
        </is>
      </c>
      <c r="B476" t="n">
        <v>36117.44</v>
      </c>
    </row>
    <row r="477">
      <c r="A477" t="inlineStr">
        <is>
          <t>CTR-00509</t>
        </is>
      </c>
      <c r="B477" t="n">
        <v>51501.51</v>
      </c>
    </row>
    <row r="478">
      <c r="A478" t="inlineStr">
        <is>
          <t>CTR-00510</t>
        </is>
      </c>
      <c r="B478" t="n">
        <v>11663</v>
      </c>
    </row>
    <row r="479">
      <c r="A479" t="inlineStr">
        <is>
          <t>CTR-00511</t>
        </is>
      </c>
      <c r="B479" t="n">
        <v>25244.96</v>
      </c>
    </row>
    <row r="480">
      <c r="A480" t="inlineStr">
        <is>
          <t>CTR-00512</t>
        </is>
      </c>
      <c r="B480" t="n">
        <v>15521.76</v>
      </c>
    </row>
    <row r="481">
      <c r="A481" t="inlineStr">
        <is>
          <t>CTR-00513</t>
        </is>
      </c>
      <c r="B481" t="n">
        <v>11296.3</v>
      </c>
    </row>
    <row r="482">
      <c r="A482" t="inlineStr">
        <is>
          <t>CTR-00514</t>
        </is>
      </c>
      <c r="B482" t="n">
        <v>120424.02</v>
      </c>
    </row>
    <row r="483">
      <c r="A483" t="inlineStr">
        <is>
          <t>CTR-00515</t>
        </is>
      </c>
      <c r="B483" t="n">
        <v>91433.32000000001</v>
      </c>
    </row>
    <row r="484">
      <c r="A484" t="inlineStr">
        <is>
          <t>CTR-00516</t>
        </is>
      </c>
      <c r="B484" t="n">
        <v>15554.27</v>
      </c>
    </row>
    <row r="485">
      <c r="A485" t="inlineStr">
        <is>
          <t>CTR-00517</t>
        </is>
      </c>
      <c r="B485" t="n">
        <v>18121.26</v>
      </c>
    </row>
    <row r="486">
      <c r="A486" t="inlineStr">
        <is>
          <t>CTR-00518</t>
        </is>
      </c>
      <c r="B486" t="n">
        <v>76798.39999999999</v>
      </c>
    </row>
    <row r="487">
      <c r="A487" t="inlineStr">
        <is>
          <t>CTR-00519</t>
        </is>
      </c>
      <c r="B487" t="n">
        <v>2176.03</v>
      </c>
    </row>
    <row r="488">
      <c r="A488" t="inlineStr">
        <is>
          <t>CTR-00520</t>
        </is>
      </c>
      <c r="B488" t="n">
        <v>35322.3</v>
      </c>
    </row>
    <row r="489">
      <c r="A489" t="inlineStr">
        <is>
          <t>CTR-00521</t>
        </is>
      </c>
      <c r="B489" t="n">
        <v>3359.48</v>
      </c>
    </row>
    <row r="490">
      <c r="A490" t="inlineStr">
        <is>
          <t>CTR-00523</t>
        </is>
      </c>
      <c r="B490" t="n">
        <v>40441.95</v>
      </c>
    </row>
    <row r="491">
      <c r="A491" t="inlineStr">
        <is>
          <t>CTR-00524</t>
        </is>
      </c>
      <c r="B491" t="n">
        <v>92776.04999999999</v>
      </c>
    </row>
    <row r="492">
      <c r="A492" t="inlineStr">
        <is>
          <t>CTR-00525</t>
        </is>
      </c>
      <c r="B492" t="n">
        <v>12784.5</v>
      </c>
    </row>
    <row r="493">
      <c r="A493" t="inlineStr">
        <is>
          <t>CTR-00526</t>
        </is>
      </c>
      <c r="B493" t="n">
        <v>35273.2</v>
      </c>
    </row>
    <row r="494">
      <c r="A494" t="inlineStr">
        <is>
          <t>CTR-00527</t>
        </is>
      </c>
      <c r="B494" t="n">
        <v>1460.05</v>
      </c>
    </row>
    <row r="495">
      <c r="A495" t="inlineStr">
        <is>
          <t>CTR-00528</t>
        </is>
      </c>
      <c r="B495" t="n">
        <v>16656.48</v>
      </c>
    </row>
    <row r="496">
      <c r="A496" t="inlineStr">
        <is>
          <t>CTR-00529</t>
        </is>
      </c>
      <c r="B496" t="n">
        <v>47204.64</v>
      </c>
    </row>
    <row r="497">
      <c r="A497" t="inlineStr">
        <is>
          <t>CTR-00530</t>
        </is>
      </c>
      <c r="B497" t="n">
        <v>26589.88</v>
      </c>
    </row>
    <row r="498">
      <c r="A498" t="inlineStr">
        <is>
          <t>CTR-00531</t>
        </is>
      </c>
      <c r="B498" t="n">
        <v>12078.56</v>
      </c>
    </row>
    <row r="499">
      <c r="A499" t="inlineStr">
        <is>
          <t>CTR-00534</t>
        </is>
      </c>
      <c r="B499" t="n">
        <v>17795.26</v>
      </c>
    </row>
    <row r="500">
      <c r="A500" t="inlineStr">
        <is>
          <t>CTR-00535</t>
        </is>
      </c>
      <c r="B500" t="n">
        <v>41652.19</v>
      </c>
    </row>
    <row r="501">
      <c r="A501" t="inlineStr">
        <is>
          <t>CTR-00537</t>
        </is>
      </c>
      <c r="B501" t="n">
        <v>65297.14000000001</v>
      </c>
    </row>
    <row r="502">
      <c r="A502" t="inlineStr">
        <is>
          <t>CTR-00538</t>
        </is>
      </c>
      <c r="B502" t="n">
        <v>88448.01000000001</v>
      </c>
    </row>
    <row r="503">
      <c r="A503" t="inlineStr">
        <is>
          <t>CTR-00539</t>
        </is>
      </c>
      <c r="B503" t="n">
        <v>11202.36</v>
      </c>
    </row>
    <row r="504">
      <c r="A504" t="inlineStr">
        <is>
          <t>CTR-00540</t>
        </is>
      </c>
      <c r="B504" t="n">
        <v>12062.18</v>
      </c>
    </row>
    <row r="505">
      <c r="A505" t="inlineStr">
        <is>
          <t>CTR-00541</t>
        </is>
      </c>
      <c r="B505" t="n">
        <v>9876.08</v>
      </c>
    </row>
    <row r="506">
      <c r="A506" t="inlineStr">
        <is>
          <t>CTR-00542</t>
        </is>
      </c>
      <c r="B506" t="n">
        <v>43864.74000000001</v>
      </c>
    </row>
    <row r="507">
      <c r="A507" t="inlineStr">
        <is>
          <t>CTR-00543</t>
        </is>
      </c>
      <c r="B507" t="n">
        <v>24161.93</v>
      </c>
    </row>
    <row r="508">
      <c r="A508" t="inlineStr">
        <is>
          <t>CTR-00544</t>
        </is>
      </c>
      <c r="B508" t="n">
        <v>1252.2</v>
      </c>
    </row>
    <row r="509">
      <c r="A509" t="inlineStr">
        <is>
          <t>CTR-00546</t>
        </is>
      </c>
      <c r="B509" t="n">
        <v>15558.9</v>
      </c>
    </row>
    <row r="510">
      <c r="A510" t="inlineStr">
        <is>
          <t>CTR-00547</t>
        </is>
      </c>
      <c r="B510" t="n">
        <v>2892.96</v>
      </c>
    </row>
    <row r="511">
      <c r="A511" t="inlineStr">
        <is>
          <t>CTR-00548</t>
        </is>
      </c>
      <c r="B511" t="n">
        <v>899.22</v>
      </c>
    </row>
    <row r="512">
      <c r="A512" t="inlineStr">
        <is>
          <t>CTR-00549</t>
        </is>
      </c>
      <c r="B512" t="n">
        <v>14262.35</v>
      </c>
    </row>
    <row r="513">
      <c r="A513" t="inlineStr">
        <is>
          <t>CTR-00550</t>
        </is>
      </c>
      <c r="B513" t="n">
        <v>62440.79</v>
      </c>
    </row>
    <row r="514">
      <c r="A514" t="inlineStr">
        <is>
          <t>CTR-00551</t>
        </is>
      </c>
      <c r="B514" t="n">
        <v>2305.38</v>
      </c>
    </row>
    <row r="515">
      <c r="A515" t="inlineStr">
        <is>
          <t>CTR-00552</t>
        </is>
      </c>
      <c r="B515" t="n">
        <v>5283.13</v>
      </c>
    </row>
    <row r="516">
      <c r="A516" t="inlineStr">
        <is>
          <t>CTR-00553</t>
        </is>
      </c>
      <c r="B516" t="n">
        <v>14141.21</v>
      </c>
    </row>
    <row r="517">
      <c r="A517" t="inlineStr">
        <is>
          <t>CTR-00554</t>
        </is>
      </c>
      <c r="B517" t="n">
        <v>3623.84</v>
      </c>
    </row>
    <row r="518">
      <c r="A518" t="inlineStr">
        <is>
          <t>CTR-00555</t>
        </is>
      </c>
      <c r="B518" t="n">
        <v>16685.8</v>
      </c>
    </row>
    <row r="519">
      <c r="A519" t="inlineStr">
        <is>
          <t>CTR-00556</t>
        </is>
      </c>
      <c r="B519" t="n">
        <v>26172.4</v>
      </c>
    </row>
    <row r="520">
      <c r="A520" t="inlineStr">
        <is>
          <t>CTR-00557</t>
        </is>
      </c>
      <c r="B520" t="n">
        <v>25721.51</v>
      </c>
    </row>
    <row r="521">
      <c r="A521" t="inlineStr">
        <is>
          <t>CTR-00558</t>
        </is>
      </c>
      <c r="B521" t="n">
        <v>13648.08</v>
      </c>
    </row>
    <row r="522">
      <c r="A522" t="inlineStr">
        <is>
          <t>CTR-00560</t>
        </is>
      </c>
      <c r="B522" t="n">
        <v>13035.96</v>
      </c>
    </row>
    <row r="523">
      <c r="A523" t="inlineStr">
        <is>
          <t>CTR-00561</t>
        </is>
      </c>
      <c r="B523" t="n">
        <v>56237.78999999999</v>
      </c>
    </row>
    <row r="524">
      <c r="A524" t="inlineStr">
        <is>
          <t>CTR-00562</t>
        </is>
      </c>
      <c r="B524" t="n">
        <v>16991.05</v>
      </c>
    </row>
    <row r="525">
      <c r="A525" t="inlineStr">
        <is>
          <t>CTR-00563</t>
        </is>
      </c>
      <c r="B525" t="n">
        <v>23733.24</v>
      </c>
    </row>
    <row r="526">
      <c r="A526" t="inlineStr">
        <is>
          <t>CTR-00564</t>
        </is>
      </c>
      <c r="B526" t="n">
        <v>26508.6</v>
      </c>
    </row>
    <row r="527">
      <c r="A527" t="inlineStr">
        <is>
          <t>CTR-00565</t>
        </is>
      </c>
      <c r="B527" t="n">
        <v>33479.1</v>
      </c>
    </row>
    <row r="528">
      <c r="A528" t="inlineStr">
        <is>
          <t>CTR-00566</t>
        </is>
      </c>
      <c r="B528" t="n">
        <v>24949.5</v>
      </c>
    </row>
    <row r="529">
      <c r="A529" t="inlineStr">
        <is>
          <t>CTR-00567</t>
        </is>
      </c>
      <c r="B529" t="n">
        <v>11046.44</v>
      </c>
    </row>
    <row r="530">
      <c r="A530" t="inlineStr">
        <is>
          <t>CTR-00568</t>
        </is>
      </c>
      <c r="B530" t="n">
        <v>11133.3</v>
      </c>
    </row>
    <row r="531">
      <c r="A531" t="inlineStr">
        <is>
          <t>CTR-00569</t>
        </is>
      </c>
      <c r="B531" t="n">
        <v>16995.58</v>
      </c>
    </row>
    <row r="532">
      <c r="A532" t="inlineStr">
        <is>
          <t>CTR-00570</t>
        </is>
      </c>
      <c r="B532" t="n">
        <v>12490.65</v>
      </c>
    </row>
    <row r="533">
      <c r="A533" t="inlineStr">
        <is>
          <t>CTR-00571</t>
        </is>
      </c>
      <c r="B533" t="n">
        <v>2969.16</v>
      </c>
    </row>
    <row r="534">
      <c r="A534" t="inlineStr">
        <is>
          <t>CTR-00572</t>
        </is>
      </c>
      <c r="B534" t="n">
        <v>137920.54</v>
      </c>
    </row>
    <row r="535">
      <c r="A535" t="inlineStr">
        <is>
          <t>CTR-00573</t>
        </is>
      </c>
      <c r="B535" t="n">
        <v>37734.97</v>
      </c>
    </row>
    <row r="536">
      <c r="A536" t="inlineStr">
        <is>
          <t>CTR-00574</t>
        </is>
      </c>
      <c r="B536" t="n">
        <v>3089.7</v>
      </c>
    </row>
    <row r="537">
      <c r="A537" t="inlineStr">
        <is>
          <t>CTR-00575</t>
        </is>
      </c>
      <c r="B537" t="n">
        <v>66355.45</v>
      </c>
    </row>
    <row r="538">
      <c r="A538" t="inlineStr">
        <is>
          <t>CTR-00576</t>
        </is>
      </c>
      <c r="B538" t="n">
        <v>47216.46</v>
      </c>
    </row>
    <row r="539">
      <c r="A539" t="inlineStr">
        <is>
          <t>CTR-00577</t>
        </is>
      </c>
      <c r="B539" t="n">
        <v>5750.42</v>
      </c>
    </row>
    <row r="540">
      <c r="A540" t="inlineStr">
        <is>
          <t>CTR-00578</t>
        </is>
      </c>
      <c r="B540" t="n">
        <v>34822.62</v>
      </c>
    </row>
    <row r="541">
      <c r="A541" t="inlineStr">
        <is>
          <t>CTR-00579</t>
        </is>
      </c>
      <c r="B541" t="n">
        <v>44301.98</v>
      </c>
    </row>
    <row r="542">
      <c r="A542" t="inlineStr">
        <is>
          <t>CTR-00580</t>
        </is>
      </c>
      <c r="B542" t="n">
        <v>7708.92</v>
      </c>
    </row>
    <row r="543">
      <c r="A543" t="inlineStr">
        <is>
          <t>CTR-00582</t>
        </is>
      </c>
      <c r="B543" t="n">
        <v>10462.56</v>
      </c>
    </row>
    <row r="544">
      <c r="A544" t="inlineStr">
        <is>
          <t>CTR-00583</t>
        </is>
      </c>
      <c r="B544" t="n">
        <v>3427.24</v>
      </c>
    </row>
    <row r="545">
      <c r="A545" t="inlineStr">
        <is>
          <t>CTR-00584</t>
        </is>
      </c>
      <c r="B545" t="n">
        <v>863.0500000000001</v>
      </c>
    </row>
    <row r="546">
      <c r="A546" t="inlineStr">
        <is>
          <t>CTR-00585</t>
        </is>
      </c>
      <c r="B546" t="n">
        <v>41403.96</v>
      </c>
    </row>
    <row r="547">
      <c r="A547" t="inlineStr">
        <is>
          <t>CTR-00586</t>
        </is>
      </c>
      <c r="B547" t="n">
        <v>1285.17</v>
      </c>
    </row>
    <row r="548">
      <c r="A548" t="inlineStr">
        <is>
          <t>CTR-00587</t>
        </is>
      </c>
      <c r="B548" t="n">
        <v>10811.5</v>
      </c>
    </row>
    <row r="549">
      <c r="A549" t="inlineStr">
        <is>
          <t>CTR-00588</t>
        </is>
      </c>
      <c r="B549" t="n">
        <v>22100.4</v>
      </c>
    </row>
    <row r="550">
      <c r="A550" t="inlineStr">
        <is>
          <t>CTR-00589</t>
        </is>
      </c>
      <c r="B550" t="n">
        <v>38589.32</v>
      </c>
    </row>
    <row r="551">
      <c r="A551" t="inlineStr">
        <is>
          <t>CTR-00590</t>
        </is>
      </c>
      <c r="B551" t="n">
        <v>22871.73</v>
      </c>
    </row>
    <row r="552">
      <c r="A552" t="inlineStr">
        <is>
          <t>CTR-00591</t>
        </is>
      </c>
      <c r="B552" t="n">
        <v>21030.23</v>
      </c>
    </row>
    <row r="553">
      <c r="A553" t="inlineStr">
        <is>
          <t>CTR-00592</t>
        </is>
      </c>
      <c r="B553" t="n">
        <v>14751.9</v>
      </c>
    </row>
    <row r="554">
      <c r="A554" t="inlineStr">
        <is>
          <t>CTR-00593</t>
        </is>
      </c>
      <c r="B554" t="n">
        <v>1914.32</v>
      </c>
    </row>
    <row r="555">
      <c r="A555" t="inlineStr">
        <is>
          <t>CTR-00594</t>
        </is>
      </c>
      <c r="B555" t="n">
        <v>32708.31</v>
      </c>
    </row>
    <row r="556">
      <c r="A556" t="inlineStr">
        <is>
          <t>CTR-00595</t>
        </is>
      </c>
      <c r="B556" t="n">
        <v>7041.06</v>
      </c>
    </row>
    <row r="557">
      <c r="A557" t="inlineStr">
        <is>
          <t>CTR-00596</t>
        </is>
      </c>
      <c r="B557" t="n">
        <v>7175.42</v>
      </c>
    </row>
    <row r="558">
      <c r="A558" t="inlineStr">
        <is>
          <t>CTR-00597</t>
        </is>
      </c>
      <c r="B558" t="n">
        <v>27841.65</v>
      </c>
    </row>
    <row r="559">
      <c r="A559" t="inlineStr">
        <is>
          <t>CTR-00598</t>
        </is>
      </c>
      <c r="B559" t="n">
        <v>30801.67</v>
      </c>
    </row>
    <row r="560">
      <c r="A560" t="inlineStr">
        <is>
          <t>CTR-00599</t>
        </is>
      </c>
      <c r="B560" t="n">
        <v>4569.690000000001</v>
      </c>
    </row>
    <row r="561">
      <c r="A561" t="inlineStr">
        <is>
          <t>CTR-00600</t>
        </is>
      </c>
      <c r="B561" t="n">
        <v>92649.83</v>
      </c>
    </row>
    <row r="562">
      <c r="A562" t="inlineStr">
        <is>
          <t>CTR-00601</t>
        </is>
      </c>
      <c r="B562" t="n">
        <v>31509.11</v>
      </c>
    </row>
    <row r="563">
      <c r="A563" t="inlineStr">
        <is>
          <t>CTR-00602</t>
        </is>
      </c>
      <c r="B563" t="n">
        <v>4023.52</v>
      </c>
    </row>
    <row r="564">
      <c r="A564" t="inlineStr">
        <is>
          <t>CTR-00603</t>
        </is>
      </c>
      <c r="B564" t="n">
        <v>5745.53</v>
      </c>
    </row>
    <row r="565">
      <c r="A565" t="inlineStr">
        <is>
          <t>CTR-00605</t>
        </is>
      </c>
      <c r="B565" t="n">
        <v>8589.629999999999</v>
      </c>
    </row>
    <row r="566">
      <c r="A566" t="inlineStr">
        <is>
          <t>CTR-00606</t>
        </is>
      </c>
      <c r="B566" t="n">
        <v>7136.2</v>
      </c>
    </row>
    <row r="567">
      <c r="A567" t="inlineStr">
        <is>
          <t>CTR-00607</t>
        </is>
      </c>
      <c r="B567" t="n">
        <v>12382.02</v>
      </c>
    </row>
    <row r="568">
      <c r="A568" t="inlineStr">
        <is>
          <t>CTR-00608</t>
        </is>
      </c>
      <c r="B568" t="n">
        <v>4839.96</v>
      </c>
    </row>
    <row r="569">
      <c r="A569" t="inlineStr">
        <is>
          <t>CTR-00609</t>
        </is>
      </c>
      <c r="B569" t="n">
        <v>21645</v>
      </c>
    </row>
    <row r="570">
      <c r="A570" t="inlineStr">
        <is>
          <t>CTR-00610</t>
        </is>
      </c>
      <c r="B570" t="n">
        <v>18702.8</v>
      </c>
    </row>
    <row r="571">
      <c r="A571" t="inlineStr">
        <is>
          <t>CTR-00611</t>
        </is>
      </c>
      <c r="B571" t="n">
        <v>1398.9</v>
      </c>
    </row>
    <row r="572">
      <c r="A572" t="inlineStr">
        <is>
          <t>CTR-00613</t>
        </is>
      </c>
      <c r="B572" t="n">
        <v>16608.32</v>
      </c>
    </row>
    <row r="573">
      <c r="A573" t="inlineStr">
        <is>
          <t>CTR-00614</t>
        </is>
      </c>
      <c r="B573" t="n">
        <v>4521.059999999999</v>
      </c>
    </row>
    <row r="574">
      <c r="A574" t="inlineStr">
        <is>
          <t>CTR-00615</t>
        </is>
      </c>
      <c r="B574" t="n">
        <v>21242.1</v>
      </c>
    </row>
    <row r="575">
      <c r="A575" t="inlineStr">
        <is>
          <t>CTR-00616</t>
        </is>
      </c>
      <c r="B575" t="n">
        <v>9492.799999999999</v>
      </c>
    </row>
    <row r="576">
      <c r="A576" t="inlineStr">
        <is>
          <t>CTR-00617</t>
        </is>
      </c>
      <c r="B576" t="n">
        <v>2604.56</v>
      </c>
    </row>
    <row r="577">
      <c r="A577" t="inlineStr">
        <is>
          <t>CTR-00619</t>
        </is>
      </c>
      <c r="B577" t="n">
        <v>53202.60000000001</v>
      </c>
    </row>
    <row r="578">
      <c r="A578" t="inlineStr">
        <is>
          <t>CTR-00621</t>
        </is>
      </c>
      <c r="B578" t="n">
        <v>701.98</v>
      </c>
    </row>
    <row r="579">
      <c r="A579" t="inlineStr">
        <is>
          <t>CTR-00622</t>
        </is>
      </c>
      <c r="B579" t="n">
        <v>128264.76</v>
      </c>
    </row>
    <row r="580">
      <c r="A580" t="inlineStr">
        <is>
          <t>CTR-00623</t>
        </is>
      </c>
      <c r="B580" t="n">
        <v>19890.5</v>
      </c>
    </row>
    <row r="581">
      <c r="A581" t="inlineStr">
        <is>
          <t>CTR-00624</t>
        </is>
      </c>
      <c r="B581" t="n">
        <v>11676</v>
      </c>
    </row>
    <row r="582">
      <c r="A582" t="inlineStr">
        <is>
          <t>CTR-00625</t>
        </is>
      </c>
      <c r="B582" t="n">
        <v>27822.06</v>
      </c>
    </row>
    <row r="583">
      <c r="A583" t="inlineStr">
        <is>
          <t>CTR-00626</t>
        </is>
      </c>
      <c r="B583" t="n">
        <v>25189.75</v>
      </c>
    </row>
    <row r="584">
      <c r="A584" t="inlineStr">
        <is>
          <t>CTR-00627</t>
        </is>
      </c>
      <c r="B584" t="n">
        <v>115683.21</v>
      </c>
    </row>
    <row r="585">
      <c r="A585" t="inlineStr">
        <is>
          <t>CTR-00628</t>
        </is>
      </c>
      <c r="B585" t="n">
        <v>1641.11</v>
      </c>
    </row>
    <row r="586">
      <c r="A586" t="inlineStr">
        <is>
          <t>CTR-00629</t>
        </is>
      </c>
      <c r="B586" t="n">
        <v>30701.52</v>
      </c>
    </row>
    <row r="587">
      <c r="A587" t="inlineStr">
        <is>
          <t>CTR-00630</t>
        </is>
      </c>
      <c r="B587" t="n">
        <v>7889.7</v>
      </c>
    </row>
    <row r="588">
      <c r="A588" t="inlineStr">
        <is>
          <t>CTR-00632</t>
        </is>
      </c>
      <c r="B588" t="n">
        <v>31113.8</v>
      </c>
    </row>
    <row r="589">
      <c r="A589" t="inlineStr">
        <is>
          <t>CTR-00633</t>
        </is>
      </c>
      <c r="B589" t="n">
        <v>46220.56</v>
      </c>
    </row>
    <row r="590">
      <c r="A590" t="inlineStr">
        <is>
          <t>CTR-00634</t>
        </is>
      </c>
      <c r="B590" t="n">
        <v>20211.3</v>
      </c>
    </row>
    <row r="591">
      <c r="A591" t="inlineStr">
        <is>
          <t>CTR-00635</t>
        </is>
      </c>
      <c r="B591" t="n">
        <v>6717.59</v>
      </c>
    </row>
    <row r="592">
      <c r="A592" t="inlineStr">
        <is>
          <t>CTR-00636</t>
        </is>
      </c>
      <c r="B592" t="n">
        <v>45022.5</v>
      </c>
    </row>
    <row r="593">
      <c r="A593" t="inlineStr">
        <is>
          <t>CTR-00637</t>
        </is>
      </c>
      <c r="B593" t="n">
        <v>36430.99000000001</v>
      </c>
    </row>
    <row r="594">
      <c r="A594" t="inlineStr">
        <is>
          <t>CTR-00638</t>
        </is>
      </c>
      <c r="B594" t="n">
        <v>11030.62</v>
      </c>
    </row>
    <row r="595">
      <c r="A595" t="inlineStr">
        <is>
          <t>CTR-00640</t>
        </is>
      </c>
      <c r="B595" t="n">
        <v>39656.14</v>
      </c>
    </row>
    <row r="596">
      <c r="A596" t="inlineStr">
        <is>
          <t>CTR-00641</t>
        </is>
      </c>
      <c r="B596" t="n">
        <v>67080.95999999999</v>
      </c>
    </row>
    <row r="597">
      <c r="A597" t="inlineStr">
        <is>
          <t>CTR-00642</t>
        </is>
      </c>
      <c r="B597" t="n">
        <v>17082.79</v>
      </c>
    </row>
    <row r="598">
      <c r="A598" t="inlineStr">
        <is>
          <t>CTR-00644</t>
        </is>
      </c>
      <c r="B598" t="n">
        <v>8492.98</v>
      </c>
    </row>
    <row r="599">
      <c r="A599" t="inlineStr">
        <is>
          <t>CTR-00645</t>
        </is>
      </c>
      <c r="B599" t="n">
        <v>1577.04</v>
      </c>
    </row>
    <row r="600">
      <c r="A600" t="inlineStr">
        <is>
          <t>CTR-00646</t>
        </is>
      </c>
      <c r="B600" t="n">
        <v>57745.6</v>
      </c>
    </row>
    <row r="601">
      <c r="A601" t="inlineStr">
        <is>
          <t>CTR-00647</t>
        </is>
      </c>
      <c r="B601" t="n">
        <v>18718.88</v>
      </c>
    </row>
    <row r="602">
      <c r="A602" t="inlineStr">
        <is>
          <t>CTR-00648</t>
        </is>
      </c>
      <c r="B602" t="n">
        <v>30252.2</v>
      </c>
    </row>
    <row r="603">
      <c r="A603" t="inlineStr">
        <is>
          <t>CTR-00649</t>
        </is>
      </c>
      <c r="B603" t="n">
        <v>2216.1</v>
      </c>
    </row>
    <row r="604">
      <c r="A604" t="inlineStr">
        <is>
          <t>CTR-00650</t>
        </is>
      </c>
      <c r="B604" t="n">
        <v>31375.79</v>
      </c>
    </row>
    <row r="605">
      <c r="A605" t="inlineStr">
        <is>
          <t>CTR-00651</t>
        </is>
      </c>
      <c r="B605" t="n">
        <v>32142.6</v>
      </c>
    </row>
    <row r="606">
      <c r="A606" t="inlineStr">
        <is>
          <t>CTR-00652</t>
        </is>
      </c>
      <c r="B606" t="n">
        <v>11111.08</v>
      </c>
    </row>
    <row r="607">
      <c r="A607" t="inlineStr">
        <is>
          <t>CTR-00653</t>
        </is>
      </c>
      <c r="B607" t="n">
        <v>9150.200000000001</v>
      </c>
    </row>
    <row r="608">
      <c r="A608" t="inlineStr">
        <is>
          <t>CTR-00654</t>
        </is>
      </c>
      <c r="B608" t="n">
        <v>27604.49</v>
      </c>
    </row>
    <row r="609">
      <c r="A609" t="inlineStr">
        <is>
          <t>CTR-00655</t>
        </is>
      </c>
      <c r="B609" t="n">
        <v>1893.72</v>
      </c>
    </row>
    <row r="610">
      <c r="A610" t="inlineStr">
        <is>
          <t>CTR-00656</t>
        </is>
      </c>
      <c r="B610" t="n">
        <v>1471.57</v>
      </c>
    </row>
    <row r="611">
      <c r="A611" t="inlineStr">
        <is>
          <t>CTR-00657</t>
        </is>
      </c>
      <c r="B611" t="n">
        <v>5802.84</v>
      </c>
    </row>
    <row r="612">
      <c r="A612" t="inlineStr">
        <is>
          <t>CTR-00658</t>
        </is>
      </c>
      <c r="B612" t="n">
        <v>9445.200000000001</v>
      </c>
    </row>
    <row r="613">
      <c r="A613" t="inlineStr">
        <is>
          <t>CTR-00659</t>
        </is>
      </c>
      <c r="B613" t="n">
        <v>12957.14</v>
      </c>
    </row>
    <row r="614">
      <c r="A614" t="inlineStr">
        <is>
          <t>CTR-00660</t>
        </is>
      </c>
      <c r="B614" t="n">
        <v>3078.07</v>
      </c>
    </row>
    <row r="615">
      <c r="A615" t="inlineStr">
        <is>
          <t>CTR-00661</t>
        </is>
      </c>
      <c r="B615" t="n">
        <v>6081.599999999999</v>
      </c>
    </row>
    <row r="616">
      <c r="A616" t="inlineStr">
        <is>
          <t>CTR-00662</t>
        </is>
      </c>
      <c r="B616" t="n">
        <v>9438.619999999999</v>
      </c>
    </row>
    <row r="617">
      <c r="A617" t="inlineStr">
        <is>
          <t>CTR-00663</t>
        </is>
      </c>
      <c r="B617" t="n">
        <v>28577.43</v>
      </c>
    </row>
    <row r="618">
      <c r="A618" t="inlineStr">
        <is>
          <t>CTR-00664</t>
        </is>
      </c>
      <c r="B618" t="n">
        <v>42764.67</v>
      </c>
    </row>
    <row r="619">
      <c r="A619" t="inlineStr">
        <is>
          <t>CTR-00665</t>
        </is>
      </c>
      <c r="B619" t="n">
        <v>38622.87</v>
      </c>
    </row>
    <row r="620">
      <c r="A620" t="inlineStr">
        <is>
          <t>CTR-00666</t>
        </is>
      </c>
      <c r="B620" t="n">
        <v>90690.3</v>
      </c>
    </row>
    <row r="621">
      <c r="A621" t="inlineStr">
        <is>
          <t>CTR-00667</t>
        </is>
      </c>
      <c r="B621" t="n">
        <v>14830.56</v>
      </c>
    </row>
    <row r="622">
      <c r="A622" t="inlineStr">
        <is>
          <t>CTR-00668</t>
        </is>
      </c>
      <c r="B622" t="n">
        <v>9426.780000000001</v>
      </c>
    </row>
    <row r="623">
      <c r="A623" t="inlineStr">
        <is>
          <t>CTR-00669</t>
        </is>
      </c>
      <c r="B623" t="n">
        <v>26210.31</v>
      </c>
    </row>
    <row r="624">
      <c r="A624" t="inlineStr">
        <is>
          <t>CTR-00670</t>
        </is>
      </c>
      <c r="B624" t="n">
        <v>15502.08</v>
      </c>
    </row>
    <row r="625">
      <c r="A625" t="inlineStr">
        <is>
          <t>CTR-00671</t>
        </is>
      </c>
      <c r="B625" t="n">
        <v>8328.799999999999</v>
      </c>
    </row>
    <row r="626">
      <c r="A626" t="inlineStr">
        <is>
          <t>CTR-00672</t>
        </is>
      </c>
      <c r="B626" t="n">
        <v>21600.76</v>
      </c>
    </row>
    <row r="627">
      <c r="A627" t="inlineStr">
        <is>
          <t>CTR-00673</t>
        </is>
      </c>
      <c r="B627" t="n">
        <v>38453.22</v>
      </c>
    </row>
    <row r="628">
      <c r="A628" t="inlineStr">
        <is>
          <t>CTR-00674</t>
        </is>
      </c>
      <c r="B628" t="n">
        <v>6000.490000000001</v>
      </c>
    </row>
    <row r="629">
      <c r="A629" t="inlineStr">
        <is>
          <t>CTR-00675</t>
        </is>
      </c>
      <c r="B629" t="n">
        <v>6458.72</v>
      </c>
    </row>
    <row r="630">
      <c r="A630" t="inlineStr">
        <is>
          <t>CTR-00676</t>
        </is>
      </c>
      <c r="B630" t="n">
        <v>88546.2</v>
      </c>
    </row>
    <row r="631">
      <c r="A631" t="inlineStr">
        <is>
          <t>CTR-00677</t>
        </is>
      </c>
      <c r="B631" t="n">
        <v>9753.24</v>
      </c>
    </row>
    <row r="632">
      <c r="A632" t="inlineStr">
        <is>
          <t>CTR-00678</t>
        </is>
      </c>
      <c r="B632" t="n">
        <v>33466.88</v>
      </c>
    </row>
    <row r="633">
      <c r="A633" t="inlineStr">
        <is>
          <t>CTR-00679</t>
        </is>
      </c>
      <c r="B633" t="n">
        <v>57338.72</v>
      </c>
    </row>
    <row r="634">
      <c r="A634" t="inlineStr">
        <is>
          <t>CTR-00680</t>
        </is>
      </c>
      <c r="B634" t="n">
        <v>3486</v>
      </c>
    </row>
    <row r="635">
      <c r="A635" t="inlineStr">
        <is>
          <t>CTR-00681</t>
        </is>
      </c>
      <c r="B635" t="n">
        <v>2085.97</v>
      </c>
    </row>
    <row r="636">
      <c r="A636" t="inlineStr">
        <is>
          <t>CTR-00682</t>
        </is>
      </c>
      <c r="B636" t="n">
        <v>5427.88</v>
      </c>
    </row>
    <row r="637">
      <c r="A637" t="inlineStr">
        <is>
          <t>CTR-00683</t>
        </is>
      </c>
      <c r="B637" t="n">
        <v>13785.48</v>
      </c>
    </row>
    <row r="638">
      <c r="A638" t="inlineStr">
        <is>
          <t>CTR-00684</t>
        </is>
      </c>
      <c r="B638" t="n">
        <v>1736.48</v>
      </c>
    </row>
    <row r="639">
      <c r="A639" t="inlineStr">
        <is>
          <t>CTR-00685</t>
        </is>
      </c>
      <c r="B639" t="n">
        <v>94840.68000000001</v>
      </c>
    </row>
    <row r="640">
      <c r="A640" t="inlineStr">
        <is>
          <t>CTR-00686</t>
        </is>
      </c>
      <c r="B640" t="n">
        <v>19159.55</v>
      </c>
    </row>
    <row r="641">
      <c r="A641" t="inlineStr">
        <is>
          <t>CTR-00687</t>
        </is>
      </c>
      <c r="B641" t="n">
        <v>18797.4</v>
      </c>
    </row>
    <row r="642">
      <c r="A642" t="inlineStr">
        <is>
          <t>CTR-00688</t>
        </is>
      </c>
      <c r="B642" t="n">
        <v>20404.47</v>
      </c>
    </row>
    <row r="643">
      <c r="A643" t="inlineStr">
        <is>
          <t>CTR-00689</t>
        </is>
      </c>
      <c r="B643" t="n">
        <v>25759.27</v>
      </c>
    </row>
    <row r="644">
      <c r="A644" t="inlineStr">
        <is>
          <t>CTR-00690</t>
        </is>
      </c>
      <c r="B644" t="n">
        <v>125219.5</v>
      </c>
    </row>
    <row r="645">
      <c r="A645" t="inlineStr">
        <is>
          <t>CTR-00691</t>
        </is>
      </c>
      <c r="B645" t="n">
        <v>27370.55</v>
      </c>
    </row>
    <row r="646">
      <c r="A646" t="inlineStr">
        <is>
          <t>CTR-00692</t>
        </is>
      </c>
      <c r="B646" t="n">
        <v>23084.05</v>
      </c>
    </row>
    <row r="647">
      <c r="A647" t="inlineStr">
        <is>
          <t>CTR-00693</t>
        </is>
      </c>
      <c r="B647" t="n">
        <v>1625.6</v>
      </c>
    </row>
    <row r="648">
      <c r="A648" t="inlineStr">
        <is>
          <t>CTR-00694</t>
        </is>
      </c>
      <c r="B648" t="n">
        <v>14212.75</v>
      </c>
    </row>
    <row r="649">
      <c r="A649" t="inlineStr">
        <is>
          <t>CTR-00695</t>
        </is>
      </c>
      <c r="B649" t="n">
        <v>906.5599999999999</v>
      </c>
    </row>
    <row r="650">
      <c r="A650" t="inlineStr">
        <is>
          <t>CTR-00696</t>
        </is>
      </c>
      <c r="B650" t="n">
        <v>14306.72</v>
      </c>
    </row>
    <row r="651">
      <c r="A651" t="inlineStr">
        <is>
          <t>CTR-00697</t>
        </is>
      </c>
      <c r="B651" t="n">
        <v>2871.2</v>
      </c>
    </row>
    <row r="652">
      <c r="A652" t="inlineStr">
        <is>
          <t>CTR-00698</t>
        </is>
      </c>
      <c r="B652" t="n">
        <v>7695.539999999999</v>
      </c>
    </row>
    <row r="653">
      <c r="A653" t="inlineStr">
        <is>
          <t>CTR-00699</t>
        </is>
      </c>
      <c r="B653" t="n">
        <v>30061.07</v>
      </c>
    </row>
    <row r="654">
      <c r="A654" t="inlineStr">
        <is>
          <t>CTR-00701</t>
        </is>
      </c>
      <c r="B654" t="n">
        <v>18890.56</v>
      </c>
    </row>
    <row r="655">
      <c r="A655" t="inlineStr">
        <is>
          <t>CTR-00702</t>
        </is>
      </c>
      <c r="B655" t="n">
        <v>11758.45</v>
      </c>
    </row>
    <row r="656">
      <c r="A656" t="inlineStr">
        <is>
          <t>CTR-00703</t>
        </is>
      </c>
      <c r="B656" t="n">
        <v>32347.65</v>
      </c>
    </row>
    <row r="657">
      <c r="A657" t="inlineStr">
        <is>
          <t>CTR-00705</t>
        </is>
      </c>
      <c r="B657" t="n">
        <v>49744.44</v>
      </c>
    </row>
    <row r="658">
      <c r="A658" t="inlineStr">
        <is>
          <t>CTR-00708</t>
        </is>
      </c>
      <c r="B658" t="n">
        <v>7967.6</v>
      </c>
    </row>
    <row r="659">
      <c r="A659" t="inlineStr">
        <is>
          <t>CTR-00709</t>
        </is>
      </c>
      <c r="B659" t="n">
        <v>11530.4</v>
      </c>
    </row>
    <row r="660">
      <c r="A660" t="inlineStr">
        <is>
          <t>CTR-00710</t>
        </is>
      </c>
      <c r="B660" t="n">
        <v>75550.45</v>
      </c>
    </row>
    <row r="661">
      <c r="A661" t="inlineStr">
        <is>
          <t>CTR-00711</t>
        </is>
      </c>
      <c r="B661" t="n">
        <v>45675.69</v>
      </c>
    </row>
    <row r="662">
      <c r="A662" t="inlineStr">
        <is>
          <t>CTR-00712</t>
        </is>
      </c>
      <c r="B662" t="n">
        <v>12942.65</v>
      </c>
    </row>
    <row r="663">
      <c r="A663" t="inlineStr">
        <is>
          <t>CTR-00713</t>
        </is>
      </c>
      <c r="B663" t="n">
        <v>14965.6</v>
      </c>
    </row>
    <row r="664">
      <c r="A664" t="inlineStr">
        <is>
          <t>CTR-00715</t>
        </is>
      </c>
      <c r="B664" t="n">
        <v>27877.75</v>
      </c>
    </row>
    <row r="665">
      <c r="A665" t="inlineStr">
        <is>
          <t>CTR-00716</t>
        </is>
      </c>
      <c r="B665" t="n">
        <v>45004.96</v>
      </c>
    </row>
    <row r="666">
      <c r="A666" t="inlineStr">
        <is>
          <t>CTR-00717</t>
        </is>
      </c>
      <c r="B666" t="n">
        <v>88877.28</v>
      </c>
    </row>
    <row r="667">
      <c r="A667" t="inlineStr">
        <is>
          <t>CTR-00719</t>
        </is>
      </c>
      <c r="B667" t="n">
        <v>10692.96</v>
      </c>
    </row>
    <row r="668">
      <c r="A668" t="inlineStr">
        <is>
          <t>CTR-00720</t>
        </is>
      </c>
      <c r="B668" t="n">
        <v>129010</v>
      </c>
    </row>
    <row r="669">
      <c r="A669" t="inlineStr">
        <is>
          <t>CTR-00721</t>
        </is>
      </c>
      <c r="B669" t="n">
        <v>2670.02</v>
      </c>
    </row>
    <row r="670">
      <c r="A670" t="inlineStr">
        <is>
          <t>CTR-00722</t>
        </is>
      </c>
      <c r="B670" t="n">
        <v>42405.60000000001</v>
      </c>
    </row>
    <row r="671">
      <c r="A671" t="inlineStr">
        <is>
          <t>CTR-00723</t>
        </is>
      </c>
      <c r="B671" t="n">
        <v>3971.58</v>
      </c>
    </row>
    <row r="672">
      <c r="A672" t="inlineStr">
        <is>
          <t>CTR-00724</t>
        </is>
      </c>
      <c r="B672" t="n">
        <v>5925.24</v>
      </c>
    </row>
    <row r="673">
      <c r="A673" t="inlineStr">
        <is>
          <t>CTR-00725</t>
        </is>
      </c>
      <c r="B673" t="n">
        <v>6032.25</v>
      </c>
    </row>
    <row r="674">
      <c r="A674" t="inlineStr">
        <is>
          <t>CTR-00726</t>
        </is>
      </c>
      <c r="B674" t="n">
        <v>51536.2</v>
      </c>
    </row>
    <row r="675">
      <c r="A675" t="inlineStr">
        <is>
          <t>CTR-00727</t>
        </is>
      </c>
      <c r="B675" t="n">
        <v>52446.79</v>
      </c>
    </row>
    <row r="676">
      <c r="A676" t="inlineStr">
        <is>
          <t>CTR-00728</t>
        </is>
      </c>
      <c r="B676" t="n">
        <v>5024.04</v>
      </c>
    </row>
    <row r="677">
      <c r="A677" t="inlineStr">
        <is>
          <t>CTR-00729</t>
        </is>
      </c>
      <c r="B677" t="n">
        <v>24730.09</v>
      </c>
    </row>
    <row r="678">
      <c r="A678" t="inlineStr">
        <is>
          <t>CTR-00730</t>
        </is>
      </c>
      <c r="B678" t="n">
        <v>31506.24</v>
      </c>
    </row>
    <row r="679">
      <c r="A679" t="inlineStr">
        <is>
          <t>CTR-00731</t>
        </is>
      </c>
      <c r="B679" t="n">
        <v>24743.43</v>
      </c>
    </row>
    <row r="680">
      <c r="A680" t="inlineStr">
        <is>
          <t>CTR-00732</t>
        </is>
      </c>
      <c r="B680" t="n">
        <v>55250.32</v>
      </c>
    </row>
    <row r="681">
      <c r="A681" t="inlineStr">
        <is>
          <t>CTR-00733</t>
        </is>
      </c>
      <c r="B681" t="n">
        <v>13945.89</v>
      </c>
    </row>
    <row r="682">
      <c r="A682" t="inlineStr">
        <is>
          <t>CTR-00734</t>
        </is>
      </c>
      <c r="B682" t="n">
        <v>6853.04</v>
      </c>
    </row>
    <row r="683">
      <c r="A683" t="inlineStr">
        <is>
          <t>CTR-00735</t>
        </is>
      </c>
      <c r="B683" t="n">
        <v>2629</v>
      </c>
    </row>
    <row r="684">
      <c r="A684" t="inlineStr">
        <is>
          <t>CTR-00736</t>
        </is>
      </c>
      <c r="B684" t="n">
        <v>15446.16</v>
      </c>
    </row>
    <row r="685">
      <c r="A685" t="inlineStr">
        <is>
          <t>CTR-00737</t>
        </is>
      </c>
      <c r="B685" t="n">
        <v>10340.5</v>
      </c>
    </row>
    <row r="686">
      <c r="A686" t="inlineStr">
        <is>
          <t>CTR-00739</t>
        </is>
      </c>
      <c r="B686" t="n">
        <v>9543.48</v>
      </c>
    </row>
    <row r="687">
      <c r="A687" t="inlineStr">
        <is>
          <t>CTR-00740</t>
        </is>
      </c>
      <c r="B687" t="n">
        <v>1052.7</v>
      </c>
    </row>
    <row r="688">
      <c r="A688" t="inlineStr">
        <is>
          <t>CTR-00741</t>
        </is>
      </c>
      <c r="B688" t="n">
        <v>5689.22</v>
      </c>
    </row>
    <row r="689">
      <c r="A689" t="inlineStr">
        <is>
          <t>CTR-00742</t>
        </is>
      </c>
      <c r="B689" t="n">
        <v>14420.65</v>
      </c>
    </row>
    <row r="690">
      <c r="A690" t="inlineStr">
        <is>
          <t>CTR-00743</t>
        </is>
      </c>
      <c r="B690" t="n">
        <v>10701.48</v>
      </c>
    </row>
    <row r="691">
      <c r="A691" t="inlineStr">
        <is>
          <t>CTR-00746</t>
        </is>
      </c>
      <c r="B691" t="n">
        <v>5229</v>
      </c>
    </row>
    <row r="692">
      <c r="A692" t="inlineStr">
        <is>
          <t>CTR-00747</t>
        </is>
      </c>
      <c r="B692" t="n">
        <v>3024.65</v>
      </c>
    </row>
    <row r="693">
      <c r="A693" t="inlineStr">
        <is>
          <t>CTR-00748</t>
        </is>
      </c>
      <c r="B693" t="n">
        <v>25758.56</v>
      </c>
    </row>
    <row r="694">
      <c r="A694" t="inlineStr">
        <is>
          <t>CTR-00749</t>
        </is>
      </c>
      <c r="B694" t="n">
        <v>15035.62</v>
      </c>
    </row>
    <row r="695">
      <c r="A695" t="inlineStr">
        <is>
          <t>CTR-00750</t>
        </is>
      </c>
      <c r="B695" t="n">
        <v>163117.04</v>
      </c>
    </row>
    <row r="696">
      <c r="A696" t="inlineStr">
        <is>
          <t>CTR-00751</t>
        </is>
      </c>
      <c r="B696" t="n">
        <v>46203.96</v>
      </c>
    </row>
    <row r="697">
      <c r="A697" t="inlineStr">
        <is>
          <t>CTR-00752</t>
        </is>
      </c>
      <c r="B697" t="n">
        <v>13516.65</v>
      </c>
    </row>
    <row r="698">
      <c r="A698" t="inlineStr">
        <is>
          <t>CTR-00753</t>
        </is>
      </c>
      <c r="B698" t="n">
        <v>5025.15</v>
      </c>
    </row>
    <row r="699">
      <c r="A699" t="inlineStr">
        <is>
          <t>CTR-00754</t>
        </is>
      </c>
      <c r="B699" t="n">
        <v>127562.88</v>
      </c>
    </row>
    <row r="700">
      <c r="A700" t="inlineStr">
        <is>
          <t>CTR-00755</t>
        </is>
      </c>
      <c r="B700" t="n">
        <v>10672.4</v>
      </c>
    </row>
    <row r="701">
      <c r="A701" t="inlineStr">
        <is>
          <t>CTR-00756</t>
        </is>
      </c>
      <c r="B701" t="n">
        <v>2915.09</v>
      </c>
    </row>
    <row r="702">
      <c r="A702" t="inlineStr">
        <is>
          <t>CTR-00757</t>
        </is>
      </c>
      <c r="B702" t="n">
        <v>26808.32</v>
      </c>
    </row>
    <row r="703">
      <c r="A703" t="inlineStr">
        <is>
          <t>CTR-00758</t>
        </is>
      </c>
      <c r="B703" t="n">
        <v>2421.33</v>
      </c>
    </row>
    <row r="704">
      <c r="A704" t="inlineStr">
        <is>
          <t>CTR-00759</t>
        </is>
      </c>
      <c r="B704" t="n">
        <v>16826.04</v>
      </c>
    </row>
    <row r="705">
      <c r="A705" t="inlineStr">
        <is>
          <t>CTR-00760</t>
        </is>
      </c>
      <c r="B705" t="n">
        <v>92075.76000000001</v>
      </c>
    </row>
    <row r="706">
      <c r="A706" t="inlineStr">
        <is>
          <t>CTR-00761</t>
        </is>
      </c>
      <c r="B706" t="n">
        <v>34601.46</v>
      </c>
    </row>
    <row r="707">
      <c r="A707" t="inlineStr">
        <is>
          <t>CTR-00763</t>
        </is>
      </c>
      <c r="B707" t="n">
        <v>109251.5</v>
      </c>
    </row>
    <row r="708">
      <c r="A708" t="inlineStr">
        <is>
          <t>CTR-00764</t>
        </is>
      </c>
      <c r="B708" t="n">
        <v>23354.89</v>
      </c>
    </row>
    <row r="709">
      <c r="A709" t="inlineStr">
        <is>
          <t>CTR-00765</t>
        </is>
      </c>
      <c r="B709" t="n">
        <v>6429.78</v>
      </c>
    </row>
    <row r="710">
      <c r="A710" t="inlineStr">
        <is>
          <t>CTR-00766</t>
        </is>
      </c>
      <c r="B710" t="n">
        <v>18500.59</v>
      </c>
    </row>
    <row r="711">
      <c r="A711" t="inlineStr">
        <is>
          <t>CTR-00767</t>
        </is>
      </c>
      <c r="B711" t="n">
        <v>17960.02</v>
      </c>
    </row>
    <row r="712">
      <c r="A712" t="inlineStr">
        <is>
          <t>CTR-00768</t>
        </is>
      </c>
      <c r="B712" t="n">
        <v>3458.4</v>
      </c>
    </row>
    <row r="713">
      <c r="A713" t="inlineStr">
        <is>
          <t>CTR-00769</t>
        </is>
      </c>
      <c r="B713" t="n">
        <v>36963.42</v>
      </c>
    </row>
    <row r="714">
      <c r="A714" t="inlineStr">
        <is>
          <t>CTR-00770</t>
        </is>
      </c>
      <c r="B714" t="n">
        <v>33207.29</v>
      </c>
    </row>
    <row r="715">
      <c r="A715" t="inlineStr">
        <is>
          <t>CTR-00771</t>
        </is>
      </c>
      <c r="B715" t="n">
        <v>28438.79</v>
      </c>
    </row>
    <row r="716">
      <c r="A716" t="inlineStr">
        <is>
          <t>CTR-00772</t>
        </is>
      </c>
      <c r="B716" t="n">
        <v>12483.26</v>
      </c>
    </row>
    <row r="717">
      <c r="A717" t="inlineStr">
        <is>
          <t>CTR-00773</t>
        </is>
      </c>
      <c r="B717" t="n">
        <v>8538.599999999999</v>
      </c>
    </row>
    <row r="718">
      <c r="A718" t="inlineStr">
        <is>
          <t>CTR-00774</t>
        </is>
      </c>
      <c r="B718" t="n">
        <v>2858.44</v>
      </c>
    </row>
    <row r="719">
      <c r="A719" t="inlineStr">
        <is>
          <t>CTR-00775</t>
        </is>
      </c>
      <c r="B719" t="n">
        <v>13896.6</v>
      </c>
    </row>
    <row r="720">
      <c r="A720" t="inlineStr">
        <is>
          <t>CTR-00776</t>
        </is>
      </c>
      <c r="B720" t="n">
        <v>150165.96</v>
      </c>
    </row>
    <row r="721">
      <c r="A721" t="inlineStr">
        <is>
          <t>CTR-00777</t>
        </is>
      </c>
      <c r="B721" t="n">
        <v>17628.12</v>
      </c>
    </row>
    <row r="722">
      <c r="A722" t="inlineStr">
        <is>
          <t>CTR-00778</t>
        </is>
      </c>
      <c r="B722" t="n">
        <v>34611.84</v>
      </c>
    </row>
    <row r="723">
      <c r="A723" t="inlineStr">
        <is>
          <t>CTR-00779</t>
        </is>
      </c>
      <c r="B723" t="n">
        <v>37205.96</v>
      </c>
    </row>
    <row r="724">
      <c r="A724" t="inlineStr">
        <is>
          <t>CTR-00780</t>
        </is>
      </c>
      <c r="B724" t="n">
        <v>25421.82</v>
      </c>
    </row>
    <row r="725">
      <c r="A725" t="inlineStr">
        <is>
          <t>CTR-00781</t>
        </is>
      </c>
      <c r="B725" t="n">
        <v>11964.71</v>
      </c>
    </row>
    <row r="726">
      <c r="A726" t="inlineStr">
        <is>
          <t>CTR-00782</t>
        </is>
      </c>
      <c r="B726" t="n">
        <v>2309.48</v>
      </c>
    </row>
    <row r="727">
      <c r="A727" t="inlineStr">
        <is>
          <t>CTR-00783</t>
        </is>
      </c>
      <c r="B727" t="n">
        <v>7293.17</v>
      </c>
    </row>
    <row r="728">
      <c r="A728" t="inlineStr">
        <is>
          <t>CTR-00784</t>
        </is>
      </c>
      <c r="B728" t="n">
        <v>49510.89</v>
      </c>
    </row>
    <row r="729">
      <c r="A729" t="inlineStr">
        <is>
          <t>CTR-00785</t>
        </is>
      </c>
      <c r="B729" t="n">
        <v>28051.86</v>
      </c>
    </row>
    <row r="730">
      <c r="A730" t="inlineStr">
        <is>
          <t>CTR-00786</t>
        </is>
      </c>
      <c r="B730" t="n">
        <v>27647.13</v>
      </c>
    </row>
    <row r="731">
      <c r="A731" t="inlineStr">
        <is>
          <t>CTR-00787</t>
        </is>
      </c>
      <c r="B731" t="n">
        <v>52817.93</v>
      </c>
    </row>
    <row r="732">
      <c r="A732" t="inlineStr">
        <is>
          <t>CTR-00788</t>
        </is>
      </c>
      <c r="B732" t="n">
        <v>21848.22</v>
      </c>
    </row>
    <row r="733">
      <c r="A733" t="inlineStr">
        <is>
          <t>CTR-00789</t>
        </is>
      </c>
      <c r="B733" t="n">
        <v>28305.17</v>
      </c>
    </row>
    <row r="734">
      <c r="A734" t="inlineStr">
        <is>
          <t>CTR-00790</t>
        </is>
      </c>
      <c r="B734" t="n">
        <v>14834.49</v>
      </c>
    </row>
    <row r="735">
      <c r="A735" t="inlineStr">
        <is>
          <t>CTR-00791</t>
        </is>
      </c>
      <c r="B735" t="n">
        <v>8481.690000000001</v>
      </c>
    </row>
    <row r="736">
      <c r="A736" t="inlineStr">
        <is>
          <t>CTR-00792</t>
        </is>
      </c>
      <c r="B736" t="n">
        <v>11479</v>
      </c>
    </row>
    <row r="737">
      <c r="A737" t="inlineStr">
        <is>
          <t>CTR-00793</t>
        </is>
      </c>
      <c r="B737" t="n">
        <v>1823.55</v>
      </c>
    </row>
    <row r="738">
      <c r="A738" t="inlineStr">
        <is>
          <t>CTR-00794</t>
        </is>
      </c>
      <c r="B738" t="n">
        <v>12842.29</v>
      </c>
    </row>
    <row r="739">
      <c r="A739" t="inlineStr">
        <is>
          <t>CTR-00795</t>
        </is>
      </c>
      <c r="B739" t="n">
        <v>2517.66</v>
      </c>
    </row>
    <row r="740">
      <c r="A740" t="inlineStr">
        <is>
          <t>CTR-00796</t>
        </is>
      </c>
      <c r="B740" t="n">
        <v>57078.12</v>
      </c>
    </row>
    <row r="741">
      <c r="A741" t="inlineStr">
        <is>
          <t>CTR-00797</t>
        </is>
      </c>
      <c r="B741" t="n">
        <v>5557.48</v>
      </c>
    </row>
    <row r="742">
      <c r="A742" t="inlineStr">
        <is>
          <t>CTR-00798</t>
        </is>
      </c>
      <c r="B742" t="n">
        <v>3368.74</v>
      </c>
    </row>
    <row r="743">
      <c r="A743" t="inlineStr">
        <is>
          <t>CTR-00799</t>
        </is>
      </c>
      <c r="B743" t="n">
        <v>10438.32</v>
      </c>
    </row>
    <row r="744">
      <c r="A744" t="inlineStr">
        <is>
          <t>CTR-00800</t>
        </is>
      </c>
      <c r="B744" t="n">
        <v>13605.2</v>
      </c>
    </row>
    <row r="745">
      <c r="A745" t="inlineStr">
        <is>
          <t>CTR-00802</t>
        </is>
      </c>
      <c r="B745" t="n">
        <v>40304.66</v>
      </c>
    </row>
    <row r="746">
      <c r="A746" t="inlineStr">
        <is>
          <t>CTR-00803</t>
        </is>
      </c>
      <c r="B746" t="n">
        <v>42903</v>
      </c>
    </row>
    <row r="747">
      <c r="A747" t="inlineStr">
        <is>
          <t>CTR-00804</t>
        </is>
      </c>
      <c r="B747" t="n">
        <v>4886.4</v>
      </c>
    </row>
    <row r="748">
      <c r="A748" t="inlineStr">
        <is>
          <t>CTR-00805</t>
        </is>
      </c>
      <c r="B748" t="n">
        <v>10898.36</v>
      </c>
    </row>
    <row r="749">
      <c r="A749" t="inlineStr">
        <is>
          <t>CTR-00806</t>
        </is>
      </c>
      <c r="B749" t="n">
        <v>43585.81</v>
      </c>
    </row>
    <row r="750">
      <c r="A750" t="inlineStr">
        <is>
          <t>CTR-00807</t>
        </is>
      </c>
      <c r="B750" t="n">
        <v>5584.41</v>
      </c>
    </row>
    <row r="751">
      <c r="A751" t="inlineStr">
        <is>
          <t>CTR-00808</t>
        </is>
      </c>
      <c r="B751" t="n">
        <v>44863.25999999999</v>
      </c>
    </row>
    <row r="752">
      <c r="A752" t="inlineStr">
        <is>
          <t>CTR-00809</t>
        </is>
      </c>
      <c r="B752" t="n">
        <v>16825.27</v>
      </c>
    </row>
    <row r="753">
      <c r="A753" t="inlineStr">
        <is>
          <t>CTR-00810</t>
        </is>
      </c>
      <c r="B753" t="n">
        <v>3459.71</v>
      </c>
    </row>
    <row r="754">
      <c r="A754" t="inlineStr">
        <is>
          <t>CTR-00811</t>
        </is>
      </c>
      <c r="B754" t="n">
        <v>6343.71</v>
      </c>
    </row>
    <row r="755">
      <c r="A755" t="inlineStr">
        <is>
          <t>CTR-00812</t>
        </is>
      </c>
      <c r="B755" t="n">
        <v>20549.8</v>
      </c>
    </row>
    <row r="756">
      <c r="A756" t="inlineStr">
        <is>
          <t>CTR-00813</t>
        </is>
      </c>
      <c r="B756" t="n">
        <v>63941.33</v>
      </c>
    </row>
    <row r="757">
      <c r="A757" t="inlineStr">
        <is>
          <t>CTR-00814</t>
        </is>
      </c>
      <c r="B757" t="n">
        <v>27600</v>
      </c>
    </row>
    <row r="758">
      <c r="A758" t="inlineStr">
        <is>
          <t>CTR-00815</t>
        </is>
      </c>
      <c r="B758" t="n">
        <v>8778.900000000001</v>
      </c>
    </row>
    <row r="759">
      <c r="A759" t="inlineStr">
        <is>
          <t>CTR-00816</t>
        </is>
      </c>
      <c r="B759" t="n">
        <v>42846</v>
      </c>
    </row>
    <row r="760">
      <c r="A760" t="inlineStr">
        <is>
          <t>CTR-00817</t>
        </is>
      </c>
      <c r="B760" t="n">
        <v>1788.21</v>
      </c>
    </row>
    <row r="761">
      <c r="A761" t="inlineStr">
        <is>
          <t>CTR-00818</t>
        </is>
      </c>
      <c r="B761" t="n">
        <v>10065.04</v>
      </c>
    </row>
    <row r="762">
      <c r="A762" t="inlineStr">
        <is>
          <t>CTR-00819</t>
        </is>
      </c>
      <c r="B762" t="n">
        <v>75466.61</v>
      </c>
    </row>
    <row r="763">
      <c r="A763" t="inlineStr">
        <is>
          <t>CTR-00820</t>
        </is>
      </c>
      <c r="B763" t="n">
        <v>16224.15</v>
      </c>
    </row>
    <row r="764">
      <c r="A764" t="inlineStr">
        <is>
          <t>CTR-00821</t>
        </is>
      </c>
      <c r="B764" t="n">
        <v>14368.34</v>
      </c>
    </row>
    <row r="765">
      <c r="A765" t="inlineStr">
        <is>
          <t>CTR-00822</t>
        </is>
      </c>
      <c r="B765" t="n">
        <v>64092.65</v>
      </c>
    </row>
    <row r="766">
      <c r="A766" t="inlineStr">
        <is>
          <t>CTR-00824</t>
        </is>
      </c>
      <c r="B766" t="n">
        <v>5639.89</v>
      </c>
    </row>
    <row r="767">
      <c r="A767" t="inlineStr">
        <is>
          <t>CTR-00825</t>
        </is>
      </c>
      <c r="B767" t="n">
        <v>29567.19</v>
      </c>
    </row>
    <row r="768">
      <c r="A768" t="inlineStr">
        <is>
          <t>CTR-00826</t>
        </is>
      </c>
      <c r="B768" t="n">
        <v>10706.52</v>
      </c>
    </row>
    <row r="769">
      <c r="A769" t="inlineStr">
        <is>
          <t>CTR-00827</t>
        </is>
      </c>
      <c r="B769" t="n">
        <v>24140.85</v>
      </c>
    </row>
    <row r="770">
      <c r="A770" t="inlineStr">
        <is>
          <t>CTR-00828</t>
        </is>
      </c>
      <c r="B770" t="n">
        <v>26121.03</v>
      </c>
    </row>
    <row r="771">
      <c r="A771" t="inlineStr">
        <is>
          <t>CTR-00829</t>
        </is>
      </c>
      <c r="B771" t="n">
        <v>16072.32</v>
      </c>
    </row>
    <row r="772">
      <c r="A772" t="inlineStr">
        <is>
          <t>CTR-00830</t>
        </is>
      </c>
      <c r="B772" t="n">
        <v>11966.82</v>
      </c>
    </row>
    <row r="773">
      <c r="A773" t="inlineStr">
        <is>
          <t>CTR-00831</t>
        </is>
      </c>
      <c r="B773" t="n">
        <v>23107.8</v>
      </c>
    </row>
    <row r="774">
      <c r="A774" t="inlineStr">
        <is>
          <t>CTR-00832</t>
        </is>
      </c>
      <c r="B774" t="n">
        <v>34210.08</v>
      </c>
    </row>
    <row r="775">
      <c r="A775" t="inlineStr">
        <is>
          <t>CTR-00833</t>
        </is>
      </c>
      <c r="B775" t="n">
        <v>17614.14</v>
      </c>
    </row>
    <row r="776">
      <c r="A776" t="inlineStr">
        <is>
          <t>CTR-00835</t>
        </is>
      </c>
      <c r="B776" t="n">
        <v>2235.93</v>
      </c>
    </row>
    <row r="777">
      <c r="A777" t="inlineStr">
        <is>
          <t>CTR-00836</t>
        </is>
      </c>
      <c r="B777" t="n">
        <v>21952.64</v>
      </c>
    </row>
    <row r="778">
      <c r="A778" t="inlineStr">
        <is>
          <t>CTR-00837</t>
        </is>
      </c>
      <c r="B778" t="n">
        <v>3685.44</v>
      </c>
    </row>
    <row r="779">
      <c r="A779" t="inlineStr">
        <is>
          <t>CTR-00838</t>
        </is>
      </c>
      <c r="B779" t="n">
        <v>3598.68</v>
      </c>
    </row>
    <row r="780">
      <c r="A780" t="inlineStr">
        <is>
          <t>CTR-00839</t>
        </is>
      </c>
      <c r="B780" t="n">
        <v>5466.93</v>
      </c>
    </row>
    <row r="781">
      <c r="A781" t="inlineStr">
        <is>
          <t>CTR-00840</t>
        </is>
      </c>
      <c r="B781" t="n">
        <v>16328.62</v>
      </c>
    </row>
    <row r="782">
      <c r="A782" t="inlineStr">
        <is>
          <t>CTR-00841</t>
        </is>
      </c>
      <c r="B782" t="n">
        <v>2226.21</v>
      </c>
    </row>
    <row r="783">
      <c r="A783" t="inlineStr">
        <is>
          <t>CTR-00842</t>
        </is>
      </c>
      <c r="B783" t="n">
        <v>28305.42</v>
      </c>
    </row>
    <row r="784">
      <c r="A784" t="inlineStr">
        <is>
          <t>CTR-00843</t>
        </is>
      </c>
      <c r="B784" t="n">
        <v>26343.88</v>
      </c>
    </row>
    <row r="785">
      <c r="A785" t="inlineStr">
        <is>
          <t>CTR-00844</t>
        </is>
      </c>
      <c r="B785" t="n">
        <v>94240.46000000001</v>
      </c>
    </row>
    <row r="786">
      <c r="A786" t="inlineStr">
        <is>
          <t>CTR-00845</t>
        </is>
      </c>
      <c r="B786" t="n">
        <v>41266.32</v>
      </c>
    </row>
    <row r="787">
      <c r="A787" t="inlineStr">
        <is>
          <t>CTR-00846</t>
        </is>
      </c>
      <c r="B787" t="n">
        <v>1356.96</v>
      </c>
    </row>
    <row r="788">
      <c r="A788" t="inlineStr">
        <is>
          <t>CTR-00847</t>
        </is>
      </c>
      <c r="B788" t="n">
        <v>17374.35</v>
      </c>
    </row>
    <row r="789">
      <c r="A789" t="inlineStr">
        <is>
          <t>CTR-00848</t>
        </is>
      </c>
      <c r="B789" t="n">
        <v>7816.14</v>
      </c>
    </row>
    <row r="790">
      <c r="A790" t="inlineStr">
        <is>
          <t>CTR-00849</t>
        </is>
      </c>
      <c r="B790" t="n">
        <v>2729</v>
      </c>
    </row>
    <row r="791">
      <c r="A791" t="inlineStr">
        <is>
          <t>CTR-00850</t>
        </is>
      </c>
      <c r="B791" t="n">
        <v>43070.76</v>
      </c>
    </row>
    <row r="792">
      <c r="A792" t="inlineStr">
        <is>
          <t>CTR-00851</t>
        </is>
      </c>
      <c r="B792" t="n">
        <v>6092.95</v>
      </c>
    </row>
    <row r="793">
      <c r="A793" t="inlineStr">
        <is>
          <t>CTR-00852</t>
        </is>
      </c>
      <c r="B793" t="n">
        <v>22450.36</v>
      </c>
    </row>
    <row r="794">
      <c r="A794" t="inlineStr">
        <is>
          <t>CTR-00853</t>
        </is>
      </c>
      <c r="B794" t="n">
        <v>3636.96</v>
      </c>
    </row>
    <row r="795">
      <c r="A795" t="inlineStr">
        <is>
          <t>CTR-00854</t>
        </is>
      </c>
      <c r="B795" t="n">
        <v>13898.6</v>
      </c>
    </row>
    <row r="796">
      <c r="A796" t="inlineStr">
        <is>
          <t>CTR-00855</t>
        </is>
      </c>
      <c r="B796" t="n">
        <v>5235.72</v>
      </c>
    </row>
    <row r="797">
      <c r="A797" t="inlineStr">
        <is>
          <t>CTR-00856</t>
        </is>
      </c>
      <c r="B797" t="n">
        <v>55727.63</v>
      </c>
    </row>
    <row r="798">
      <c r="A798" t="inlineStr">
        <is>
          <t>CTR-00857</t>
        </is>
      </c>
      <c r="B798" t="n">
        <v>7005.599999999999</v>
      </c>
    </row>
    <row r="799">
      <c r="A799" t="inlineStr">
        <is>
          <t>CTR-00858</t>
        </is>
      </c>
      <c r="B799" t="n">
        <v>6722.48</v>
      </c>
    </row>
    <row r="800">
      <c r="A800" t="inlineStr">
        <is>
          <t>CTR-00859</t>
        </is>
      </c>
      <c r="B800" t="n">
        <v>65141.16</v>
      </c>
    </row>
    <row r="801">
      <c r="A801" t="inlineStr">
        <is>
          <t>CTR-00860</t>
        </is>
      </c>
      <c r="B801" t="n">
        <v>5982.64</v>
      </c>
    </row>
    <row r="802">
      <c r="A802" t="inlineStr">
        <is>
          <t>CTR-00861</t>
        </is>
      </c>
      <c r="B802" t="n">
        <v>11852.77</v>
      </c>
    </row>
    <row r="803">
      <c r="A803" t="inlineStr">
        <is>
          <t>CTR-00862</t>
        </is>
      </c>
      <c r="B803" t="n">
        <v>43396.08</v>
      </c>
    </row>
    <row r="804">
      <c r="A804" t="inlineStr">
        <is>
          <t>CTR-00863</t>
        </is>
      </c>
      <c r="B804" t="n">
        <v>14387.4</v>
      </c>
    </row>
    <row r="805">
      <c r="A805" t="inlineStr">
        <is>
          <t>CTR-00864</t>
        </is>
      </c>
      <c r="B805" t="n">
        <v>5414.92</v>
      </c>
    </row>
    <row r="806">
      <c r="A806" t="inlineStr">
        <is>
          <t>CTR-00865</t>
        </is>
      </c>
      <c r="B806" t="n">
        <v>15362.82</v>
      </c>
    </row>
    <row r="807">
      <c r="A807" t="inlineStr">
        <is>
          <t>CTR-00866</t>
        </is>
      </c>
      <c r="B807" t="n">
        <v>75130.76999999999</v>
      </c>
    </row>
    <row r="808">
      <c r="A808" t="inlineStr">
        <is>
          <t>CTR-00867</t>
        </is>
      </c>
      <c r="B808" t="n">
        <v>53577.92</v>
      </c>
    </row>
    <row r="809">
      <c r="A809" t="inlineStr">
        <is>
          <t>CTR-00868</t>
        </is>
      </c>
      <c r="B809" t="n">
        <v>24658.83</v>
      </c>
    </row>
    <row r="810">
      <c r="A810" t="inlineStr">
        <is>
          <t>CTR-00869</t>
        </is>
      </c>
      <c r="B810" t="n">
        <v>6132.24</v>
      </c>
    </row>
    <row r="811">
      <c r="A811" t="inlineStr">
        <is>
          <t>CTR-00870</t>
        </is>
      </c>
      <c r="B811" t="n">
        <v>106946.64</v>
      </c>
    </row>
    <row r="812">
      <c r="A812" t="inlineStr">
        <is>
          <t>CTR-00871</t>
        </is>
      </c>
      <c r="B812" t="n">
        <v>50655.6</v>
      </c>
    </row>
    <row r="813">
      <c r="A813" t="inlineStr">
        <is>
          <t>CTR-00872</t>
        </is>
      </c>
      <c r="B813" t="n">
        <v>51899.77</v>
      </c>
    </row>
    <row r="814">
      <c r="A814" t="inlineStr">
        <is>
          <t>CTR-00873</t>
        </is>
      </c>
      <c r="B814" t="n">
        <v>12631.63</v>
      </c>
    </row>
    <row r="815">
      <c r="A815" t="inlineStr">
        <is>
          <t>CTR-00874</t>
        </is>
      </c>
      <c r="B815" t="n">
        <v>17351.48</v>
      </c>
    </row>
    <row r="816">
      <c r="A816" t="inlineStr">
        <is>
          <t>CTR-00875</t>
        </is>
      </c>
      <c r="B816" t="n">
        <v>58764.61</v>
      </c>
    </row>
    <row r="817">
      <c r="A817" t="inlineStr">
        <is>
          <t>CTR-00876</t>
        </is>
      </c>
      <c r="B817" t="n">
        <v>8490.99</v>
      </c>
    </row>
    <row r="818">
      <c r="A818" t="inlineStr">
        <is>
          <t>CTR-00877</t>
        </is>
      </c>
      <c r="B818" t="n">
        <v>6018.2</v>
      </c>
    </row>
    <row r="819">
      <c r="A819" t="inlineStr">
        <is>
          <t>CTR-00878</t>
        </is>
      </c>
      <c r="B819" t="n">
        <v>2934.42</v>
      </c>
    </row>
    <row r="820">
      <c r="A820" t="inlineStr">
        <is>
          <t>CTR-00879</t>
        </is>
      </c>
      <c r="B820" t="n">
        <v>26676.5</v>
      </c>
    </row>
    <row r="821">
      <c r="A821" t="inlineStr">
        <is>
          <t>CTR-00880</t>
        </is>
      </c>
      <c r="B821" t="n">
        <v>24025.41</v>
      </c>
    </row>
    <row r="822">
      <c r="A822" t="inlineStr">
        <is>
          <t>CTR-00881</t>
        </is>
      </c>
      <c r="B822" t="n">
        <v>11710.46</v>
      </c>
    </row>
    <row r="823">
      <c r="A823" t="inlineStr">
        <is>
          <t>CTR-00882</t>
        </is>
      </c>
      <c r="B823" t="n">
        <v>15575.8</v>
      </c>
    </row>
    <row r="824">
      <c r="A824" t="inlineStr">
        <is>
          <t>CTR-00883</t>
        </is>
      </c>
      <c r="B824" t="n">
        <v>1140.87</v>
      </c>
    </row>
    <row r="825">
      <c r="A825" t="inlineStr">
        <is>
          <t>CTR-00884</t>
        </is>
      </c>
      <c r="B825" t="n">
        <v>11990.1</v>
      </c>
    </row>
    <row r="826">
      <c r="A826" t="inlineStr">
        <is>
          <t>CTR-00885</t>
        </is>
      </c>
      <c r="B826" t="n">
        <v>4301.22</v>
      </c>
    </row>
    <row r="827">
      <c r="A827" t="inlineStr">
        <is>
          <t>CTR-00886</t>
        </is>
      </c>
      <c r="B827" t="n">
        <v>13840.2</v>
      </c>
    </row>
    <row r="828">
      <c r="A828" t="inlineStr">
        <is>
          <t>CTR-00887</t>
        </is>
      </c>
      <c r="B828" t="n">
        <v>13126.96</v>
      </c>
    </row>
    <row r="829">
      <c r="A829" t="inlineStr">
        <is>
          <t>CTR-00888</t>
        </is>
      </c>
      <c r="B829" t="n">
        <v>134226.14</v>
      </c>
    </row>
    <row r="830">
      <c r="A830" t="inlineStr">
        <is>
          <t>CTR-00889</t>
        </is>
      </c>
      <c r="B830" t="n">
        <v>4524.6</v>
      </c>
    </row>
    <row r="831">
      <c r="A831" t="inlineStr">
        <is>
          <t>CTR-00890</t>
        </is>
      </c>
      <c r="B831" t="n">
        <v>17273.5</v>
      </c>
    </row>
    <row r="832">
      <c r="A832" t="inlineStr">
        <is>
          <t>CTR-00891</t>
        </is>
      </c>
      <c r="B832" t="n">
        <v>35912.04</v>
      </c>
    </row>
    <row r="833">
      <c r="A833" t="inlineStr">
        <is>
          <t>CTR-00892</t>
        </is>
      </c>
      <c r="B833" t="n">
        <v>29002.42</v>
      </c>
    </row>
    <row r="834">
      <c r="A834" t="inlineStr">
        <is>
          <t>CTR-00893</t>
        </is>
      </c>
      <c r="B834" t="n">
        <v>17180.27</v>
      </c>
    </row>
    <row r="835">
      <c r="A835" t="inlineStr">
        <is>
          <t>CTR-00894</t>
        </is>
      </c>
      <c r="B835" t="n">
        <v>2303.19</v>
      </c>
    </row>
    <row r="836">
      <c r="A836" t="inlineStr">
        <is>
          <t>CTR-00895</t>
        </is>
      </c>
      <c r="B836" t="n">
        <v>39425.52</v>
      </c>
    </row>
    <row r="837">
      <c r="A837" t="inlineStr">
        <is>
          <t>CTR-00896</t>
        </is>
      </c>
      <c r="B837" t="n">
        <v>39731.04</v>
      </c>
    </row>
    <row r="838">
      <c r="A838" t="inlineStr">
        <is>
          <t>CTR-00898</t>
        </is>
      </c>
      <c r="B838" t="n">
        <v>38140.5</v>
      </c>
    </row>
    <row r="839">
      <c r="A839" t="inlineStr">
        <is>
          <t>CTR-00899</t>
        </is>
      </c>
      <c r="B839" t="n">
        <v>6119.28</v>
      </c>
    </row>
    <row r="840">
      <c r="A840" t="inlineStr">
        <is>
          <t>CTR-00900</t>
        </is>
      </c>
      <c r="B840" t="n">
        <v>16745.28</v>
      </c>
    </row>
    <row r="841">
      <c r="A841" t="inlineStr">
        <is>
          <t>CTR-00901</t>
        </is>
      </c>
      <c r="B841" t="n">
        <v>1192.44</v>
      </c>
    </row>
    <row r="842">
      <c r="A842" t="inlineStr">
        <is>
          <t>CTR-00902</t>
        </is>
      </c>
      <c r="B842" t="n">
        <v>33020.16</v>
      </c>
    </row>
    <row r="843">
      <c r="A843" t="inlineStr">
        <is>
          <t>CTR-00903</t>
        </is>
      </c>
      <c r="B843" t="n">
        <v>3513.06</v>
      </c>
    </row>
    <row r="844">
      <c r="A844" t="inlineStr">
        <is>
          <t>CTR-00904</t>
        </is>
      </c>
      <c r="B844" t="n">
        <v>71144.64</v>
      </c>
    </row>
    <row r="845">
      <c r="A845" t="inlineStr">
        <is>
          <t>CTR-00905</t>
        </is>
      </c>
      <c r="B845" t="n">
        <v>28841.6</v>
      </c>
    </row>
    <row r="846">
      <c r="A846" t="inlineStr">
        <is>
          <t>CTR-00906</t>
        </is>
      </c>
      <c r="B846" t="n">
        <v>9771.76</v>
      </c>
    </row>
    <row r="847">
      <c r="A847" t="inlineStr">
        <is>
          <t>CTR-00907</t>
        </is>
      </c>
      <c r="B847" t="n">
        <v>22441.44</v>
      </c>
    </row>
    <row r="848">
      <c r="A848" t="inlineStr">
        <is>
          <t>CTR-00908</t>
        </is>
      </c>
      <c r="B848" t="n">
        <v>22657.35</v>
      </c>
    </row>
    <row r="849">
      <c r="A849" t="inlineStr">
        <is>
          <t>CTR-00909</t>
        </is>
      </c>
      <c r="B849" t="n">
        <v>17800.28</v>
      </c>
    </row>
    <row r="850">
      <c r="A850" t="inlineStr">
        <is>
          <t>CTR-00910</t>
        </is>
      </c>
      <c r="B850" t="n">
        <v>59777.8</v>
      </c>
    </row>
    <row r="851">
      <c r="A851" t="inlineStr">
        <is>
          <t>CTR-00913</t>
        </is>
      </c>
      <c r="B851" t="n">
        <v>15415.36</v>
      </c>
    </row>
    <row r="852">
      <c r="A852" t="inlineStr">
        <is>
          <t>CTR-00914</t>
        </is>
      </c>
      <c r="B852" t="n">
        <v>46541.4</v>
      </c>
    </row>
    <row r="853">
      <c r="A853" t="inlineStr">
        <is>
          <t>CTR-00915</t>
        </is>
      </c>
      <c r="B853" t="n">
        <v>15011.23</v>
      </c>
    </row>
    <row r="854">
      <c r="A854" t="inlineStr">
        <is>
          <t>CTR-00916</t>
        </is>
      </c>
      <c r="B854" t="n">
        <v>4570.98</v>
      </c>
    </row>
    <row r="855">
      <c r="A855" t="inlineStr">
        <is>
          <t>CTR-00917</t>
        </is>
      </c>
      <c r="B855" t="n">
        <v>3518.41</v>
      </c>
    </row>
    <row r="856">
      <c r="A856" t="inlineStr">
        <is>
          <t>CTR-00918</t>
        </is>
      </c>
      <c r="B856" t="n">
        <v>3537.1</v>
      </c>
    </row>
    <row r="857">
      <c r="A857" t="inlineStr">
        <is>
          <t>CTR-00919</t>
        </is>
      </c>
      <c r="B857" t="n">
        <v>54057.1</v>
      </c>
    </row>
    <row r="858">
      <c r="A858" t="inlineStr">
        <is>
          <t>CTR-00920</t>
        </is>
      </c>
      <c r="B858" t="n">
        <v>10189.06</v>
      </c>
    </row>
    <row r="859">
      <c r="A859" t="inlineStr">
        <is>
          <t>CTR-00921</t>
        </is>
      </c>
      <c r="B859" t="n">
        <v>4079.26</v>
      </c>
    </row>
    <row r="860">
      <c r="A860" t="inlineStr">
        <is>
          <t>CTR-00922</t>
        </is>
      </c>
      <c r="B860" t="n">
        <v>24195.96</v>
      </c>
    </row>
    <row r="861">
      <c r="A861" t="inlineStr">
        <is>
          <t>CTR-00923</t>
        </is>
      </c>
      <c r="B861" t="n">
        <v>15161.92</v>
      </c>
    </row>
    <row r="862">
      <c r="A862" t="inlineStr">
        <is>
          <t>CTR-00924</t>
        </is>
      </c>
      <c r="B862" t="n">
        <v>32842.03</v>
      </c>
    </row>
    <row r="863">
      <c r="A863" t="inlineStr">
        <is>
          <t>CTR-00925</t>
        </is>
      </c>
      <c r="B863" t="n">
        <v>9070.68</v>
      </c>
    </row>
    <row r="864">
      <c r="A864" t="inlineStr">
        <is>
          <t>CTR-00926</t>
        </is>
      </c>
      <c r="B864" t="n">
        <v>4442.34</v>
      </c>
    </row>
    <row r="865">
      <c r="A865" t="inlineStr">
        <is>
          <t>CTR-00927</t>
        </is>
      </c>
      <c r="B865" t="n">
        <v>29806.27</v>
      </c>
    </row>
    <row r="866">
      <c r="A866" t="inlineStr">
        <is>
          <t>CTR-00928</t>
        </is>
      </c>
      <c r="B866" t="n">
        <v>12230.51</v>
      </c>
    </row>
    <row r="867">
      <c r="A867" t="inlineStr">
        <is>
          <t>CTR-00929</t>
        </is>
      </c>
      <c r="B867" t="n">
        <v>17472.53</v>
      </c>
    </row>
    <row r="868">
      <c r="A868" t="inlineStr">
        <is>
          <t>CTR-00930</t>
        </is>
      </c>
      <c r="B868" t="n">
        <v>11355.3</v>
      </c>
    </row>
    <row r="869">
      <c r="A869" t="inlineStr">
        <is>
          <t>CTR-00932</t>
        </is>
      </c>
      <c r="B869" t="n">
        <v>12108.87</v>
      </c>
    </row>
    <row r="870">
      <c r="A870" t="inlineStr">
        <is>
          <t>CTR-00933</t>
        </is>
      </c>
      <c r="B870" t="n">
        <v>8024.660000000001</v>
      </c>
    </row>
    <row r="871">
      <c r="A871" t="inlineStr">
        <is>
          <t>CTR-00934</t>
        </is>
      </c>
      <c r="B871" t="n">
        <v>19751.62</v>
      </c>
    </row>
    <row r="872">
      <c r="A872" t="inlineStr">
        <is>
          <t>CTR-00935</t>
        </is>
      </c>
      <c r="B872" t="n">
        <v>38735.86</v>
      </c>
    </row>
    <row r="873">
      <c r="A873" t="inlineStr">
        <is>
          <t>CTR-00936</t>
        </is>
      </c>
      <c r="B873" t="n">
        <v>12282.92</v>
      </c>
    </row>
    <row r="874">
      <c r="A874" t="inlineStr">
        <is>
          <t>CTR-00937</t>
        </is>
      </c>
      <c r="B874" t="n">
        <v>23353</v>
      </c>
    </row>
    <row r="875">
      <c r="A875" t="inlineStr">
        <is>
          <t>CTR-00938</t>
        </is>
      </c>
      <c r="B875" t="n">
        <v>18920.88</v>
      </c>
    </row>
    <row r="876">
      <c r="A876" t="inlineStr">
        <is>
          <t>CTR-00939</t>
        </is>
      </c>
      <c r="B876" t="n">
        <v>3569.56</v>
      </c>
    </row>
    <row r="877">
      <c r="A877" t="inlineStr">
        <is>
          <t>CTR-00940</t>
        </is>
      </c>
      <c r="B877" t="n">
        <v>70731.5</v>
      </c>
    </row>
    <row r="878">
      <c r="A878" t="inlineStr">
        <is>
          <t>CTR-00941</t>
        </is>
      </c>
      <c r="B878" t="n">
        <v>1003.2</v>
      </c>
    </row>
    <row r="879">
      <c r="A879" t="inlineStr">
        <is>
          <t>CTR-00942</t>
        </is>
      </c>
      <c r="B879" t="n">
        <v>68887.2</v>
      </c>
    </row>
    <row r="880">
      <c r="A880" t="inlineStr">
        <is>
          <t>CTR-00943</t>
        </is>
      </c>
      <c r="B880" t="n">
        <v>2427.5</v>
      </c>
    </row>
    <row r="881">
      <c r="A881" t="inlineStr">
        <is>
          <t>CTR-00944</t>
        </is>
      </c>
      <c r="B881" t="n">
        <v>13464.42</v>
      </c>
    </row>
    <row r="882">
      <c r="A882" t="inlineStr">
        <is>
          <t>CTR-00945</t>
        </is>
      </c>
      <c r="B882" t="n">
        <v>5703.54</v>
      </c>
    </row>
    <row r="883">
      <c r="A883" t="inlineStr">
        <is>
          <t>CTR-00946</t>
        </is>
      </c>
      <c r="B883" t="n">
        <v>12745.61</v>
      </c>
    </row>
    <row r="884">
      <c r="A884" t="inlineStr">
        <is>
          <t>CTR-00947</t>
        </is>
      </c>
      <c r="B884" t="n">
        <v>29341.56</v>
      </c>
    </row>
    <row r="885">
      <c r="A885" t="inlineStr">
        <is>
          <t>CTR-00949</t>
        </is>
      </c>
      <c r="B885" t="n">
        <v>23561.28</v>
      </c>
    </row>
    <row r="886">
      <c r="A886" t="inlineStr">
        <is>
          <t>CTR-00951</t>
        </is>
      </c>
      <c r="B886" t="n">
        <v>3634.52</v>
      </c>
    </row>
    <row r="887">
      <c r="A887" t="inlineStr">
        <is>
          <t>CTR-00952</t>
        </is>
      </c>
      <c r="B887" t="n">
        <v>2589.93</v>
      </c>
    </row>
    <row r="888">
      <c r="A888" t="inlineStr">
        <is>
          <t>CTR-00953</t>
        </is>
      </c>
      <c r="B888" t="n">
        <v>12587.55</v>
      </c>
    </row>
    <row r="889">
      <c r="A889" t="inlineStr">
        <is>
          <t>CTR-00954</t>
        </is>
      </c>
      <c r="B889" t="n">
        <v>19865.04</v>
      </c>
    </row>
    <row r="890">
      <c r="A890" t="inlineStr">
        <is>
          <t>CTR-00955</t>
        </is>
      </c>
      <c r="B890" t="n">
        <v>40310.93</v>
      </c>
    </row>
    <row r="891">
      <c r="A891" t="inlineStr">
        <is>
          <t>CTR-00956</t>
        </is>
      </c>
      <c r="B891" t="n">
        <v>3591.67</v>
      </c>
    </row>
    <row r="892">
      <c r="A892" t="inlineStr">
        <is>
          <t>CTR-00957</t>
        </is>
      </c>
      <c r="B892" t="n">
        <v>7490.139999999999</v>
      </c>
    </row>
    <row r="893">
      <c r="A893" t="inlineStr">
        <is>
          <t>CTR-00958</t>
        </is>
      </c>
      <c r="B893" t="n">
        <v>6417.72</v>
      </c>
    </row>
    <row r="894">
      <c r="A894" t="inlineStr">
        <is>
          <t>CTR-00959</t>
        </is>
      </c>
      <c r="B894" t="n">
        <v>17825.19</v>
      </c>
    </row>
    <row r="895">
      <c r="A895" t="inlineStr">
        <is>
          <t>CTR-00960</t>
        </is>
      </c>
      <c r="B895" t="n">
        <v>10893.9</v>
      </c>
    </row>
    <row r="896">
      <c r="A896" t="inlineStr">
        <is>
          <t>CTR-00961</t>
        </is>
      </c>
      <c r="B896" t="n">
        <v>33268.32</v>
      </c>
    </row>
    <row r="897">
      <c r="A897" t="inlineStr">
        <is>
          <t>CTR-00962</t>
        </is>
      </c>
      <c r="B897" t="n">
        <v>1230.7</v>
      </c>
    </row>
    <row r="898">
      <c r="A898" t="inlineStr">
        <is>
          <t>CTR-00963</t>
        </is>
      </c>
      <c r="B898" t="n">
        <v>10275.3</v>
      </c>
    </row>
    <row r="899">
      <c r="A899" t="inlineStr">
        <is>
          <t>CTR-00964</t>
        </is>
      </c>
      <c r="B899" t="n">
        <v>66739.36</v>
      </c>
    </row>
    <row r="900">
      <c r="A900" t="inlineStr">
        <is>
          <t>CTR-00965</t>
        </is>
      </c>
      <c r="B900" t="n">
        <v>14875.96</v>
      </c>
    </row>
    <row r="901">
      <c r="A901" t="inlineStr">
        <is>
          <t>CTR-00966</t>
        </is>
      </c>
      <c r="B901" t="n">
        <v>10270.64</v>
      </c>
    </row>
    <row r="902">
      <c r="A902" t="inlineStr">
        <is>
          <t>CTR-00967</t>
        </is>
      </c>
      <c r="B902" t="n">
        <v>11342.7</v>
      </c>
    </row>
    <row r="903">
      <c r="A903" t="inlineStr">
        <is>
          <t>CTR-00968</t>
        </is>
      </c>
      <c r="B903" t="n">
        <v>613.54</v>
      </c>
    </row>
    <row r="904">
      <c r="A904" t="inlineStr">
        <is>
          <t>CTR-00969</t>
        </is>
      </c>
      <c r="B904" t="n">
        <v>18355.5</v>
      </c>
    </row>
    <row r="905">
      <c r="A905" t="inlineStr">
        <is>
          <t>CTR-00970</t>
        </is>
      </c>
      <c r="B905" t="n">
        <v>14975.28</v>
      </c>
    </row>
    <row r="906">
      <c r="A906" t="inlineStr">
        <is>
          <t>CTR-00971</t>
        </is>
      </c>
      <c r="B906" t="n">
        <v>12238.2</v>
      </c>
    </row>
    <row r="907">
      <c r="A907" t="inlineStr">
        <is>
          <t>CTR-00972</t>
        </is>
      </c>
      <c r="B907" t="n">
        <v>21474.18</v>
      </c>
    </row>
    <row r="908">
      <c r="A908" t="inlineStr">
        <is>
          <t>CTR-00973</t>
        </is>
      </c>
      <c r="B908" t="n">
        <v>35876.85</v>
      </c>
    </row>
    <row r="909">
      <c r="A909" t="inlineStr">
        <is>
          <t>CTR-00974</t>
        </is>
      </c>
      <c r="B909" t="n">
        <v>12234.36</v>
      </c>
    </row>
    <row r="910">
      <c r="A910" t="inlineStr">
        <is>
          <t>CTR-00975</t>
        </is>
      </c>
      <c r="B910" t="n">
        <v>748.4299999999999</v>
      </c>
    </row>
    <row r="911">
      <c r="A911" t="inlineStr">
        <is>
          <t>CTR-00976</t>
        </is>
      </c>
      <c r="B911" t="n">
        <v>29127.56</v>
      </c>
    </row>
    <row r="912">
      <c r="A912" t="inlineStr">
        <is>
          <t>CTR-00977</t>
        </is>
      </c>
      <c r="B912" t="n">
        <v>1232.35</v>
      </c>
    </row>
    <row r="913">
      <c r="A913" t="inlineStr">
        <is>
          <t>CTR-00978</t>
        </is>
      </c>
      <c r="B913" t="n">
        <v>31833.49</v>
      </c>
    </row>
    <row r="914">
      <c r="A914" t="inlineStr">
        <is>
          <t>CTR-00979</t>
        </is>
      </c>
      <c r="B914" t="n">
        <v>6696.690000000001</v>
      </c>
    </row>
    <row r="915">
      <c r="A915" t="inlineStr">
        <is>
          <t>CTR-00980</t>
        </is>
      </c>
      <c r="B915" t="n">
        <v>13279.23</v>
      </c>
    </row>
    <row r="916">
      <c r="A916" t="inlineStr">
        <is>
          <t>CTR-00981</t>
        </is>
      </c>
      <c r="B916" t="n">
        <v>14061.66</v>
      </c>
    </row>
    <row r="917">
      <c r="A917" t="inlineStr">
        <is>
          <t>CTR-00982</t>
        </is>
      </c>
      <c r="B917" t="n">
        <v>35201.38</v>
      </c>
    </row>
    <row r="918">
      <c r="A918" t="inlineStr">
        <is>
          <t>CTR-00983</t>
        </is>
      </c>
      <c r="B918" t="n">
        <v>4239.48</v>
      </c>
    </row>
    <row r="919">
      <c r="A919" t="inlineStr">
        <is>
          <t>CTR-00984</t>
        </is>
      </c>
      <c r="B919" t="n">
        <v>365.37</v>
      </c>
    </row>
    <row r="920">
      <c r="A920" t="inlineStr">
        <is>
          <t>CTR-00985</t>
        </is>
      </c>
      <c r="B920" t="n">
        <v>54420.93</v>
      </c>
    </row>
    <row r="921">
      <c r="A921" t="inlineStr">
        <is>
          <t>CTR-00986</t>
        </is>
      </c>
      <c r="B921" t="n">
        <v>9898.15</v>
      </c>
    </row>
    <row r="922">
      <c r="A922" t="inlineStr">
        <is>
          <t>CTR-00988</t>
        </is>
      </c>
      <c r="B922" t="n">
        <v>2230.16</v>
      </c>
    </row>
    <row r="923">
      <c r="A923" t="inlineStr">
        <is>
          <t>CTR-00989</t>
        </is>
      </c>
      <c r="B923" t="n">
        <v>60987.28</v>
      </c>
    </row>
    <row r="924">
      <c r="A924" t="inlineStr">
        <is>
          <t>CTR-00990</t>
        </is>
      </c>
      <c r="B924" t="n">
        <v>10612.93</v>
      </c>
    </row>
    <row r="925">
      <c r="A925" t="inlineStr">
        <is>
          <t>CTR-00991</t>
        </is>
      </c>
      <c r="B925" t="n">
        <v>18320.12</v>
      </c>
    </row>
    <row r="926">
      <c r="A926" t="inlineStr">
        <is>
          <t>CTR-00992</t>
        </is>
      </c>
      <c r="B926" t="n">
        <v>5481.78</v>
      </c>
    </row>
    <row r="927">
      <c r="A927" t="inlineStr">
        <is>
          <t>CTR-00993</t>
        </is>
      </c>
      <c r="B927" t="n">
        <v>3991.71</v>
      </c>
    </row>
    <row r="928">
      <c r="A928" t="inlineStr">
        <is>
          <t>CTR-00994</t>
        </is>
      </c>
      <c r="B928" t="n">
        <v>82877.84999999999</v>
      </c>
    </row>
    <row r="929">
      <c r="A929" t="inlineStr">
        <is>
          <t>CTR-00995</t>
        </is>
      </c>
      <c r="B929" t="n">
        <v>10581.63</v>
      </c>
    </row>
    <row r="930">
      <c r="A930" t="inlineStr">
        <is>
          <t>CTR-00996</t>
        </is>
      </c>
      <c r="B930" t="n">
        <v>12354.57</v>
      </c>
    </row>
    <row r="931">
      <c r="A931" t="inlineStr">
        <is>
          <t>CTR-00997</t>
        </is>
      </c>
      <c r="B931" t="n">
        <v>7740.36</v>
      </c>
    </row>
    <row r="932">
      <c r="A932" t="inlineStr">
        <is>
          <t>CTR-00998</t>
        </is>
      </c>
      <c r="B932" t="n">
        <v>13623.2</v>
      </c>
    </row>
    <row r="933">
      <c r="A933" t="inlineStr">
        <is>
          <t>CTR-00999</t>
        </is>
      </c>
      <c r="B933" t="n">
        <v>26051.52</v>
      </c>
    </row>
    <row r="934">
      <c r="A934" t="inlineStr">
        <is>
          <t>CTR-01001</t>
        </is>
      </c>
      <c r="B934" t="n">
        <v>40960.56</v>
      </c>
    </row>
    <row r="935">
      <c r="A935" t="inlineStr">
        <is>
          <t>CTR-01002</t>
        </is>
      </c>
      <c r="B935" t="n">
        <v>10889.1</v>
      </c>
    </row>
    <row r="936">
      <c r="A936" t="inlineStr">
        <is>
          <t>CTR-01003</t>
        </is>
      </c>
      <c r="B936" t="n">
        <v>30618.7</v>
      </c>
    </row>
    <row r="937">
      <c r="A937" t="inlineStr">
        <is>
          <t>CTR-01004</t>
        </is>
      </c>
      <c r="B937" t="n">
        <v>10592.12</v>
      </c>
    </row>
    <row r="938">
      <c r="A938" t="inlineStr">
        <is>
          <t>CTR-01005</t>
        </is>
      </c>
      <c r="B938" t="n">
        <v>11021.59</v>
      </c>
    </row>
    <row r="939">
      <c r="A939" t="inlineStr">
        <is>
          <t>CTR-01006</t>
        </is>
      </c>
      <c r="B939" t="n">
        <v>12963.52</v>
      </c>
    </row>
    <row r="940">
      <c r="A940" t="inlineStr">
        <is>
          <t>CTR-01007</t>
        </is>
      </c>
      <c r="B940" t="n">
        <v>5747.16</v>
      </c>
    </row>
    <row r="941">
      <c r="A941" t="inlineStr">
        <is>
          <t>CTR-01008</t>
        </is>
      </c>
      <c r="B941" t="n">
        <v>60548.62</v>
      </c>
    </row>
    <row r="942">
      <c r="A942" t="inlineStr">
        <is>
          <t>CTR-01009</t>
        </is>
      </c>
      <c r="B942" t="n">
        <v>12116.84</v>
      </c>
    </row>
    <row r="943">
      <c r="A943" t="inlineStr">
        <is>
          <t>CTR-01010</t>
        </is>
      </c>
      <c r="B943" t="n">
        <v>8267.639999999999</v>
      </c>
    </row>
    <row r="944">
      <c r="A944" t="inlineStr">
        <is>
          <t>CTR-01011</t>
        </is>
      </c>
      <c r="B944" t="n">
        <v>13195.52</v>
      </c>
    </row>
    <row r="945">
      <c r="A945" t="inlineStr">
        <is>
          <t>CTR-01013</t>
        </is>
      </c>
      <c r="B945" t="n">
        <v>4743.15</v>
      </c>
    </row>
    <row r="946">
      <c r="A946" t="inlineStr">
        <is>
          <t>CTR-01014</t>
        </is>
      </c>
      <c r="B946" t="n">
        <v>18319.6</v>
      </c>
    </row>
    <row r="947">
      <c r="A947" t="inlineStr">
        <is>
          <t>CTR-01015</t>
        </is>
      </c>
      <c r="B947" t="n">
        <v>29845.58</v>
      </c>
    </row>
    <row r="948">
      <c r="A948" t="inlineStr">
        <is>
          <t>CTR-01016</t>
        </is>
      </c>
      <c r="B948" t="n">
        <v>33281.63</v>
      </c>
    </row>
    <row r="949">
      <c r="A949" t="inlineStr">
        <is>
          <t>CTR-01017</t>
        </is>
      </c>
      <c r="B949" t="n">
        <v>50860.17</v>
      </c>
    </row>
    <row r="950">
      <c r="A950" t="inlineStr">
        <is>
          <t>CTR-01018</t>
        </is>
      </c>
      <c r="B950" t="n">
        <v>1089.09</v>
      </c>
    </row>
    <row r="951">
      <c r="A951" t="inlineStr">
        <is>
          <t>CTR-01019</t>
        </is>
      </c>
      <c r="B951" t="n">
        <v>28395.75</v>
      </c>
    </row>
    <row r="952">
      <c r="A952" t="inlineStr">
        <is>
          <t>CTR-01020</t>
        </is>
      </c>
      <c r="B952" t="n">
        <v>26160.13</v>
      </c>
    </row>
    <row r="953">
      <c r="A953" t="inlineStr">
        <is>
          <t>CTR-01021</t>
        </is>
      </c>
      <c r="B953" t="n">
        <v>19114.74</v>
      </c>
    </row>
    <row r="954">
      <c r="A954" t="inlineStr">
        <is>
          <t>CTR-01022</t>
        </is>
      </c>
      <c r="B954" t="n">
        <v>37175.6</v>
      </c>
    </row>
    <row r="955">
      <c r="A955" t="inlineStr">
        <is>
          <t>CTR-01023</t>
        </is>
      </c>
      <c r="B955" t="n">
        <v>16351.56</v>
      </c>
    </row>
    <row r="956">
      <c r="A956" t="inlineStr">
        <is>
          <t>CTR-01024</t>
        </is>
      </c>
      <c r="B956" t="n">
        <v>20112.68</v>
      </c>
    </row>
    <row r="957">
      <c r="A957" t="inlineStr">
        <is>
          <t>CTR-01026</t>
        </is>
      </c>
      <c r="B957" t="n">
        <v>33677.92000000001</v>
      </c>
    </row>
    <row r="958">
      <c r="A958" t="inlineStr">
        <is>
          <t>CTR-01027</t>
        </is>
      </c>
      <c r="B958" t="n">
        <v>1369.16</v>
      </c>
    </row>
    <row r="959">
      <c r="A959" t="inlineStr">
        <is>
          <t>CTR-01028</t>
        </is>
      </c>
      <c r="B959" t="n">
        <v>17753</v>
      </c>
    </row>
    <row r="960">
      <c r="A960" t="inlineStr">
        <is>
          <t>CTR-01029</t>
        </is>
      </c>
      <c r="B960" t="n">
        <v>18018</v>
      </c>
    </row>
    <row r="961">
      <c r="A961" t="inlineStr">
        <is>
          <t>CTR-01030</t>
        </is>
      </c>
      <c r="B961" t="n">
        <v>3785.4</v>
      </c>
    </row>
    <row r="962">
      <c r="A962" t="inlineStr">
        <is>
          <t>CTR-01031</t>
        </is>
      </c>
      <c r="B962" t="n">
        <v>86696.44</v>
      </c>
    </row>
    <row r="963">
      <c r="A963" t="inlineStr">
        <is>
          <t>CTR-01032</t>
        </is>
      </c>
      <c r="B963" t="n">
        <v>4030.62</v>
      </c>
    </row>
    <row r="964">
      <c r="A964" t="inlineStr">
        <is>
          <t>CTR-01033</t>
        </is>
      </c>
      <c r="B964" t="n">
        <v>37262.81</v>
      </c>
    </row>
    <row r="965">
      <c r="A965" t="inlineStr">
        <is>
          <t>CTR-01034</t>
        </is>
      </c>
      <c r="B965" t="n">
        <v>3584.32</v>
      </c>
    </row>
    <row r="966">
      <c r="A966" t="inlineStr">
        <is>
          <t>CTR-01035</t>
        </is>
      </c>
      <c r="B966" t="n">
        <v>65227.05</v>
      </c>
    </row>
    <row r="967">
      <c r="A967" t="inlineStr">
        <is>
          <t>CTR-01036</t>
        </is>
      </c>
      <c r="B967" t="n">
        <v>15539.58</v>
      </c>
    </row>
    <row r="968">
      <c r="A968" t="inlineStr">
        <is>
          <t>CTR-01039</t>
        </is>
      </c>
      <c r="B968" t="n">
        <v>2885.65</v>
      </c>
    </row>
    <row r="969">
      <c r="A969" t="inlineStr">
        <is>
          <t>CTR-01040</t>
        </is>
      </c>
      <c r="B969" t="n">
        <v>13702.68</v>
      </c>
    </row>
    <row r="970">
      <c r="A970" t="inlineStr">
        <is>
          <t>CTR-01042</t>
        </is>
      </c>
      <c r="B970" t="n">
        <v>4243.7</v>
      </c>
    </row>
    <row r="971">
      <c r="A971" t="inlineStr">
        <is>
          <t>CTR-01043</t>
        </is>
      </c>
      <c r="B971" t="n">
        <v>47101.77</v>
      </c>
    </row>
    <row r="972">
      <c r="A972" t="inlineStr">
        <is>
          <t>CTR-01044</t>
        </is>
      </c>
      <c r="B972" t="n">
        <v>118045.26</v>
      </c>
    </row>
    <row r="973">
      <c r="A973" t="inlineStr">
        <is>
          <t>CTR-01045</t>
        </is>
      </c>
      <c r="B973" t="n">
        <v>5644.2</v>
      </c>
    </row>
    <row r="974">
      <c r="A974" t="inlineStr">
        <is>
          <t>CTR-01046</t>
        </is>
      </c>
      <c r="B974" t="n">
        <v>6491.44</v>
      </c>
    </row>
    <row r="975">
      <c r="A975" t="inlineStr">
        <is>
          <t>CTR-01047</t>
        </is>
      </c>
      <c r="B975" t="n">
        <v>8255.779999999999</v>
      </c>
    </row>
    <row r="976">
      <c r="A976" t="inlineStr">
        <is>
          <t>CTR-01048</t>
        </is>
      </c>
      <c r="B976" t="n">
        <v>3503.74</v>
      </c>
    </row>
    <row r="977">
      <c r="A977" t="inlineStr">
        <is>
          <t>CTR-01049</t>
        </is>
      </c>
      <c r="B977" t="n">
        <v>6762.139999999999</v>
      </c>
    </row>
    <row r="978">
      <c r="A978" t="inlineStr">
        <is>
          <t>CTR-01051</t>
        </is>
      </c>
      <c r="B978" t="n">
        <v>3945.66</v>
      </c>
    </row>
    <row r="979">
      <c r="A979" t="inlineStr">
        <is>
          <t>CTR-01052</t>
        </is>
      </c>
      <c r="B979" t="n">
        <v>44609.6</v>
      </c>
    </row>
    <row r="980">
      <c r="A980" t="inlineStr">
        <is>
          <t>CTR-01053</t>
        </is>
      </c>
      <c r="B980" t="n">
        <v>2806.25</v>
      </c>
    </row>
    <row r="981">
      <c r="A981" t="inlineStr">
        <is>
          <t>CTR-01054</t>
        </is>
      </c>
      <c r="B981" t="n">
        <v>14135.94</v>
      </c>
    </row>
    <row r="982">
      <c r="A982" t="inlineStr">
        <is>
          <t>CTR-01055</t>
        </is>
      </c>
      <c r="B982" t="n">
        <v>32956.77</v>
      </c>
    </row>
    <row r="983">
      <c r="A983" t="inlineStr">
        <is>
          <t>CTR-01056</t>
        </is>
      </c>
      <c r="B983" t="n">
        <v>106783.82</v>
      </c>
    </row>
    <row r="984">
      <c r="A984" t="inlineStr">
        <is>
          <t>CTR-01057</t>
        </is>
      </c>
      <c r="B984" t="n">
        <v>9559.139999999999</v>
      </c>
    </row>
    <row r="985">
      <c r="A985" t="inlineStr">
        <is>
          <t>CTR-01058</t>
        </is>
      </c>
      <c r="B985" t="n">
        <v>2499.04</v>
      </c>
    </row>
    <row r="986">
      <c r="A986" t="inlineStr">
        <is>
          <t>CTR-01059</t>
        </is>
      </c>
      <c r="B986" t="n">
        <v>8194.5</v>
      </c>
    </row>
    <row r="987">
      <c r="A987" t="inlineStr">
        <is>
          <t>CTR-01060</t>
        </is>
      </c>
      <c r="B987" t="n">
        <v>25067.56</v>
      </c>
    </row>
    <row r="988">
      <c r="A988" t="inlineStr">
        <is>
          <t>CTR-01061</t>
        </is>
      </c>
      <c r="B988" t="n">
        <v>45356.76</v>
      </c>
    </row>
    <row r="989">
      <c r="A989" t="inlineStr">
        <is>
          <t>CTR-01062</t>
        </is>
      </c>
      <c r="B989" t="n">
        <v>28496.26</v>
      </c>
    </row>
    <row r="990">
      <c r="A990" t="inlineStr">
        <is>
          <t>CTR-01063</t>
        </is>
      </c>
      <c r="B990" t="n">
        <v>4309.1</v>
      </c>
    </row>
    <row r="991">
      <c r="A991" t="inlineStr">
        <is>
          <t>CTR-01064</t>
        </is>
      </c>
      <c r="B991" t="n">
        <v>22845</v>
      </c>
    </row>
    <row r="992">
      <c r="A992" t="inlineStr">
        <is>
          <t>CTR-01065</t>
        </is>
      </c>
      <c r="B992" t="n">
        <v>17150.96</v>
      </c>
    </row>
    <row r="993">
      <c r="A993" t="inlineStr">
        <is>
          <t>CTR-01066</t>
        </is>
      </c>
      <c r="B993" t="n">
        <v>29478.51</v>
      </c>
    </row>
    <row r="994">
      <c r="A994" t="inlineStr">
        <is>
          <t>CTR-01067</t>
        </is>
      </c>
      <c r="B994" t="n">
        <v>5358.27</v>
      </c>
    </row>
    <row r="995">
      <c r="A995" t="inlineStr">
        <is>
          <t>CTR-01068</t>
        </is>
      </c>
      <c r="B995" t="n">
        <v>41612.96</v>
      </c>
    </row>
    <row r="996">
      <c r="A996" t="inlineStr">
        <is>
          <t>CTR-01069</t>
        </is>
      </c>
      <c r="B996" t="n">
        <v>27553.89</v>
      </c>
    </row>
    <row r="997">
      <c r="A997" t="inlineStr">
        <is>
          <t>CTR-01070</t>
        </is>
      </c>
      <c r="B997" t="n">
        <v>19521.73</v>
      </c>
    </row>
    <row r="998">
      <c r="A998" t="inlineStr">
        <is>
          <t>CTR-01071</t>
        </is>
      </c>
      <c r="B998" t="n">
        <v>157536.77</v>
      </c>
    </row>
    <row r="999">
      <c r="A999" t="inlineStr">
        <is>
          <t>CTR-01072</t>
        </is>
      </c>
      <c r="B999" t="n">
        <v>4785.75</v>
      </c>
    </row>
    <row r="1000">
      <c r="A1000" t="inlineStr">
        <is>
          <t>CTR-01073</t>
        </is>
      </c>
      <c r="B1000" t="n">
        <v>2521.67</v>
      </c>
    </row>
    <row r="1001">
      <c r="A1001" t="inlineStr">
        <is>
          <t>CTR-01074</t>
        </is>
      </c>
      <c r="B1001" t="n">
        <v>5073.74</v>
      </c>
    </row>
    <row r="1002">
      <c r="A1002" t="inlineStr">
        <is>
          <t>CTR-01076</t>
        </is>
      </c>
      <c r="B1002" t="n">
        <v>45892.8</v>
      </c>
    </row>
    <row r="1003">
      <c r="A1003" t="inlineStr">
        <is>
          <t>CTR-01077</t>
        </is>
      </c>
      <c r="B1003" t="n">
        <v>121407.47</v>
      </c>
    </row>
    <row r="1004">
      <c r="A1004" t="inlineStr">
        <is>
          <t>CTR-01078</t>
        </is>
      </c>
      <c r="B1004" t="n">
        <v>39618.45</v>
      </c>
    </row>
    <row r="1005">
      <c r="A1005" t="inlineStr">
        <is>
          <t>CTR-01079</t>
        </is>
      </c>
      <c r="B1005" t="n">
        <v>9114.75</v>
      </c>
    </row>
    <row r="1006">
      <c r="A1006" t="inlineStr">
        <is>
          <t>CTR-01080</t>
        </is>
      </c>
      <c r="B1006" t="n">
        <v>10099.96</v>
      </c>
    </row>
    <row r="1007">
      <c r="A1007" t="inlineStr">
        <is>
          <t>CTR-01081</t>
        </is>
      </c>
      <c r="B1007" t="n">
        <v>22902.4</v>
      </c>
    </row>
    <row r="1008">
      <c r="A1008" t="inlineStr">
        <is>
          <t>CTR-01082</t>
        </is>
      </c>
      <c r="B1008" t="n">
        <v>21073.29</v>
      </c>
    </row>
    <row r="1009">
      <c r="A1009" t="inlineStr">
        <is>
          <t>CTR-01083</t>
        </is>
      </c>
      <c r="B1009" t="n">
        <v>9146.93</v>
      </c>
    </row>
    <row r="1010">
      <c r="A1010" t="inlineStr">
        <is>
          <t>CTR-01084</t>
        </is>
      </c>
      <c r="B1010" t="n">
        <v>14293.64</v>
      </c>
    </row>
    <row r="1011">
      <c r="A1011" t="inlineStr">
        <is>
          <t>CTR-01085</t>
        </is>
      </c>
      <c r="B1011" t="n">
        <v>68335.2</v>
      </c>
    </row>
    <row r="1012">
      <c r="A1012" t="inlineStr">
        <is>
          <t>CTR-01086</t>
        </is>
      </c>
      <c r="B1012" t="n">
        <v>16694.13</v>
      </c>
    </row>
    <row r="1013">
      <c r="A1013" t="inlineStr">
        <is>
          <t>CTR-01088</t>
        </is>
      </c>
      <c r="B1013" t="n">
        <v>8129.969999999999</v>
      </c>
    </row>
    <row r="1014">
      <c r="A1014" t="inlineStr">
        <is>
          <t>CTR-01089</t>
        </is>
      </c>
      <c r="B1014" t="n">
        <v>953.92</v>
      </c>
    </row>
    <row r="1015">
      <c r="A1015" t="inlineStr">
        <is>
          <t>CTR-01090</t>
        </is>
      </c>
      <c r="B1015" t="n">
        <v>7329.04</v>
      </c>
    </row>
    <row r="1016">
      <c r="A1016" t="inlineStr">
        <is>
          <t>CTR-01091</t>
        </is>
      </c>
      <c r="B1016" t="n">
        <v>16348.1</v>
      </c>
    </row>
    <row r="1017">
      <c r="A1017" t="inlineStr">
        <is>
          <t>CTR-01092</t>
        </is>
      </c>
      <c r="B1017" t="n">
        <v>12699.09</v>
      </c>
    </row>
    <row r="1018">
      <c r="A1018" t="inlineStr">
        <is>
          <t>CTR-01093</t>
        </is>
      </c>
      <c r="B1018" t="n">
        <v>19764.22</v>
      </c>
    </row>
    <row r="1019">
      <c r="A1019" t="inlineStr">
        <is>
          <t>CTR-01094</t>
        </is>
      </c>
      <c r="B1019" t="n">
        <v>4784.360000000001</v>
      </c>
    </row>
    <row r="1020">
      <c r="A1020" t="inlineStr">
        <is>
          <t>CTR-01095</t>
        </is>
      </c>
      <c r="B1020" t="n">
        <v>27323.94</v>
      </c>
    </row>
    <row r="1021">
      <c r="A1021" t="inlineStr">
        <is>
          <t>CTR-01097</t>
        </is>
      </c>
      <c r="B1021" t="n">
        <v>20619</v>
      </c>
    </row>
    <row r="1022">
      <c r="A1022" t="inlineStr">
        <is>
          <t>CTR-01098</t>
        </is>
      </c>
      <c r="B1022" t="n">
        <v>6771.85</v>
      </c>
    </row>
    <row r="1023">
      <c r="A1023" t="inlineStr">
        <is>
          <t>CTR-01099</t>
        </is>
      </c>
      <c r="B1023" t="n">
        <v>19447.52</v>
      </c>
    </row>
    <row r="1024">
      <c r="A1024" t="inlineStr">
        <is>
          <t>CTR-01100</t>
        </is>
      </c>
      <c r="B1024" t="n">
        <v>15257.13</v>
      </c>
    </row>
    <row r="1025">
      <c r="A1025" t="inlineStr">
        <is>
          <t>CTR-01101</t>
        </is>
      </c>
      <c r="B1025" t="n">
        <v>13162.31</v>
      </c>
    </row>
    <row r="1026">
      <c r="A1026" t="inlineStr">
        <is>
          <t>CTR-01103</t>
        </is>
      </c>
      <c r="B1026" t="n">
        <v>15046.64</v>
      </c>
    </row>
    <row r="1027">
      <c r="A1027" t="inlineStr">
        <is>
          <t>CTR-01104</t>
        </is>
      </c>
      <c r="B1027" t="n">
        <v>55558.08</v>
      </c>
    </row>
    <row r="1028">
      <c r="A1028" t="inlineStr">
        <is>
          <t>CTR-01105</t>
        </is>
      </c>
      <c r="B1028" t="n">
        <v>14214.13</v>
      </c>
    </row>
    <row r="1029">
      <c r="A1029" t="inlineStr">
        <is>
          <t>CTR-01106</t>
        </is>
      </c>
      <c r="B1029" t="n">
        <v>9547.610000000001</v>
      </c>
    </row>
    <row r="1030">
      <c r="A1030" t="inlineStr">
        <is>
          <t>CTR-01107</t>
        </is>
      </c>
      <c r="B1030" t="n">
        <v>4466.2</v>
      </c>
    </row>
    <row r="1031">
      <c r="A1031" t="inlineStr">
        <is>
          <t>CTR-01108</t>
        </is>
      </c>
      <c r="B1031" t="n">
        <v>71712.11</v>
      </c>
    </row>
    <row r="1032">
      <c r="A1032" t="inlineStr">
        <is>
          <t>CTR-01109</t>
        </is>
      </c>
      <c r="B1032" t="n">
        <v>65226.07</v>
      </c>
    </row>
    <row r="1033">
      <c r="A1033" t="inlineStr">
        <is>
          <t>CTR-01110</t>
        </is>
      </c>
      <c r="B1033" t="n">
        <v>11001.34</v>
      </c>
    </row>
    <row r="1034">
      <c r="A1034" t="inlineStr">
        <is>
          <t>CTR-01111</t>
        </is>
      </c>
      <c r="B1034" t="n">
        <v>970.12</v>
      </c>
    </row>
    <row r="1035">
      <c r="A1035" t="inlineStr">
        <is>
          <t>CTR-01112</t>
        </is>
      </c>
      <c r="B1035" t="n">
        <v>47673.17999999999</v>
      </c>
    </row>
    <row r="1036">
      <c r="A1036" t="inlineStr">
        <is>
          <t>CTR-01113</t>
        </is>
      </c>
      <c r="B1036" t="n">
        <v>4707</v>
      </c>
    </row>
    <row r="1037">
      <c r="A1037" t="inlineStr">
        <is>
          <t>CTR-01114</t>
        </is>
      </c>
      <c r="B1037" t="n">
        <v>18412.01</v>
      </c>
    </row>
    <row r="1038">
      <c r="A1038" t="inlineStr">
        <is>
          <t>CTR-01115</t>
        </is>
      </c>
      <c r="B1038" t="n">
        <v>69438.92999999999</v>
      </c>
    </row>
    <row r="1039">
      <c r="A1039" t="inlineStr">
        <is>
          <t>CTR-01116</t>
        </is>
      </c>
      <c r="B1039" t="n">
        <v>2839.62</v>
      </c>
    </row>
    <row r="1040">
      <c r="A1040" t="inlineStr">
        <is>
          <t>CTR-01117</t>
        </is>
      </c>
      <c r="B1040" t="n">
        <v>463.07</v>
      </c>
    </row>
    <row r="1041">
      <c r="A1041" t="inlineStr">
        <is>
          <t>CTR-01118</t>
        </is>
      </c>
      <c r="B1041" t="n">
        <v>20161.91</v>
      </c>
    </row>
    <row r="1042">
      <c r="A1042" t="inlineStr">
        <is>
          <t>CTR-01119</t>
        </is>
      </c>
      <c r="B1042" t="n">
        <v>37317.42000000001</v>
      </c>
    </row>
    <row r="1043">
      <c r="A1043" t="inlineStr">
        <is>
          <t>CTR-01120</t>
        </is>
      </c>
      <c r="B1043" t="n">
        <v>11270.28</v>
      </c>
    </row>
    <row r="1044">
      <c r="A1044" t="inlineStr">
        <is>
          <t>CTR-01121</t>
        </is>
      </c>
      <c r="B1044" t="n">
        <v>13083.18</v>
      </c>
    </row>
    <row r="1045">
      <c r="A1045" t="inlineStr">
        <is>
          <t>CTR-01122</t>
        </is>
      </c>
      <c r="B1045" t="n">
        <v>36708.44</v>
      </c>
    </row>
    <row r="1046">
      <c r="A1046" t="inlineStr">
        <is>
          <t>CTR-01124</t>
        </is>
      </c>
      <c r="B1046" t="n">
        <v>84520.35000000001</v>
      </c>
    </row>
    <row r="1047">
      <c r="A1047" t="inlineStr">
        <is>
          <t>CTR-01125</t>
        </is>
      </c>
      <c r="B1047" t="n">
        <v>66785.25</v>
      </c>
    </row>
    <row r="1048">
      <c r="A1048" t="inlineStr">
        <is>
          <t>CTR-01126</t>
        </is>
      </c>
      <c r="B1048" t="n">
        <v>9548.58</v>
      </c>
    </row>
    <row r="1049">
      <c r="A1049" t="inlineStr">
        <is>
          <t>CTR-01127</t>
        </is>
      </c>
      <c r="B1049" t="n">
        <v>23471.84</v>
      </c>
    </row>
    <row r="1050">
      <c r="A1050" t="inlineStr">
        <is>
          <t>CTR-01128</t>
        </is>
      </c>
      <c r="B1050" t="n">
        <v>4309.16</v>
      </c>
    </row>
    <row r="1051">
      <c r="A1051" t="inlineStr">
        <is>
          <t>CTR-01129</t>
        </is>
      </c>
      <c r="B1051" t="n">
        <v>27108</v>
      </c>
    </row>
    <row r="1052">
      <c r="A1052" t="inlineStr">
        <is>
          <t>CTR-01130</t>
        </is>
      </c>
      <c r="B1052" t="n">
        <v>25717.12</v>
      </c>
    </row>
    <row r="1053">
      <c r="A1053" t="inlineStr">
        <is>
          <t>CTR-01131</t>
        </is>
      </c>
      <c r="B1053" t="n">
        <v>6526.8</v>
      </c>
    </row>
    <row r="1054">
      <c r="A1054" t="inlineStr">
        <is>
          <t>CTR-01132</t>
        </is>
      </c>
      <c r="B1054" t="n">
        <v>14209.76</v>
      </c>
    </row>
    <row r="1055">
      <c r="A1055" t="inlineStr">
        <is>
          <t>CTR-01133</t>
        </is>
      </c>
      <c r="B1055" t="n">
        <v>50755.44</v>
      </c>
    </row>
    <row r="1056">
      <c r="A1056" t="inlineStr">
        <is>
          <t>CTR-01134</t>
        </is>
      </c>
      <c r="B1056" t="n">
        <v>50380.2</v>
      </c>
    </row>
    <row r="1057">
      <c r="A1057" t="inlineStr">
        <is>
          <t>CTR-01135</t>
        </is>
      </c>
      <c r="B1057" t="n">
        <v>18584.5</v>
      </c>
    </row>
    <row r="1058">
      <c r="A1058" t="inlineStr">
        <is>
          <t>CTR-01136</t>
        </is>
      </c>
      <c r="B1058" t="n">
        <v>49534.60000000001</v>
      </c>
    </row>
    <row r="1059">
      <c r="A1059" t="inlineStr">
        <is>
          <t>CTR-01137</t>
        </is>
      </c>
      <c r="B1059" t="n">
        <v>83401.92</v>
      </c>
    </row>
    <row r="1060">
      <c r="A1060" t="inlineStr">
        <is>
          <t>CTR-01138</t>
        </is>
      </c>
      <c r="B1060" t="n">
        <v>48566.15</v>
      </c>
    </row>
    <row r="1061">
      <c r="A1061" t="inlineStr">
        <is>
          <t>CTR-01139</t>
        </is>
      </c>
      <c r="B1061" t="n">
        <v>24079.02</v>
      </c>
    </row>
    <row r="1062">
      <c r="A1062" t="inlineStr">
        <is>
          <t>CTR-01140</t>
        </is>
      </c>
      <c r="B1062" t="n">
        <v>5281.849999999999</v>
      </c>
    </row>
    <row r="1063">
      <c r="A1063" t="inlineStr">
        <is>
          <t>CTR-01141</t>
        </is>
      </c>
      <c r="B1063" t="n">
        <v>29997.4</v>
      </c>
    </row>
    <row r="1064">
      <c r="A1064" t="inlineStr">
        <is>
          <t>CTR-01142</t>
        </is>
      </c>
      <c r="B1064" t="n">
        <v>51065.55</v>
      </c>
    </row>
    <row r="1065">
      <c r="A1065" t="inlineStr">
        <is>
          <t>CTR-01143</t>
        </is>
      </c>
      <c r="B1065" t="n">
        <v>7651.01</v>
      </c>
    </row>
    <row r="1066">
      <c r="A1066" t="inlineStr">
        <is>
          <t>CTR-01144</t>
        </is>
      </c>
      <c r="B1066" t="n">
        <v>29218.92</v>
      </c>
    </row>
    <row r="1067">
      <c r="A1067" t="inlineStr">
        <is>
          <t>CTR-01145</t>
        </is>
      </c>
      <c r="B1067" t="n">
        <v>17033.06</v>
      </c>
    </row>
    <row r="1068">
      <c r="A1068" t="inlineStr">
        <is>
          <t>CTR-01146</t>
        </is>
      </c>
      <c r="B1068" t="n">
        <v>4107.75</v>
      </c>
    </row>
    <row r="1069">
      <c r="A1069" t="inlineStr">
        <is>
          <t>CTR-01147</t>
        </is>
      </c>
      <c r="B1069" t="n">
        <v>18086.9</v>
      </c>
    </row>
    <row r="1070">
      <c r="A1070" t="inlineStr">
        <is>
          <t>CTR-01148</t>
        </is>
      </c>
      <c r="B1070" t="n">
        <v>7873.559999999999</v>
      </c>
    </row>
    <row r="1071">
      <c r="A1071" t="inlineStr">
        <is>
          <t>CTR-01149</t>
        </is>
      </c>
      <c r="B1071" t="n">
        <v>10059.62</v>
      </c>
    </row>
    <row r="1072">
      <c r="A1072" t="inlineStr">
        <is>
          <t>CTR-01150</t>
        </is>
      </c>
      <c r="B1072" t="n">
        <v>23771.7</v>
      </c>
    </row>
    <row r="1073">
      <c r="A1073" t="inlineStr">
        <is>
          <t>CTR-01151</t>
        </is>
      </c>
      <c r="B1073" t="n">
        <v>28844.76</v>
      </c>
    </row>
    <row r="1074">
      <c r="A1074" t="inlineStr">
        <is>
          <t>CTR-01152</t>
        </is>
      </c>
      <c r="B1074" t="n">
        <v>11466.22</v>
      </c>
    </row>
    <row r="1075">
      <c r="A1075" t="inlineStr">
        <is>
          <t>CTR-01153</t>
        </is>
      </c>
      <c r="B1075" t="n">
        <v>5704.92</v>
      </c>
    </row>
    <row r="1076">
      <c r="A1076" t="inlineStr">
        <is>
          <t>CTR-01154</t>
        </is>
      </c>
      <c r="B1076" t="n">
        <v>82283.50999999999</v>
      </c>
    </row>
    <row r="1077">
      <c r="A1077" t="inlineStr">
        <is>
          <t>CTR-01155</t>
        </is>
      </c>
      <c r="B1077" t="n">
        <v>31958.95</v>
      </c>
    </row>
    <row r="1078">
      <c r="A1078" t="inlineStr">
        <is>
          <t>CTR-01156</t>
        </is>
      </c>
      <c r="B1078" t="n">
        <v>9717.76</v>
      </c>
    </row>
    <row r="1079">
      <c r="A1079" t="inlineStr">
        <is>
          <t>CTR-01157</t>
        </is>
      </c>
      <c r="B1079" t="n">
        <v>3013.45</v>
      </c>
    </row>
    <row r="1080">
      <c r="A1080" t="inlineStr">
        <is>
          <t>CTR-01158</t>
        </is>
      </c>
      <c r="B1080" t="n">
        <v>51330.64999999999</v>
      </c>
    </row>
    <row r="1081">
      <c r="A1081" t="inlineStr">
        <is>
          <t>CTR-01159</t>
        </is>
      </c>
      <c r="B1081" t="n">
        <v>32638.24</v>
      </c>
    </row>
    <row r="1082">
      <c r="A1082" t="inlineStr">
        <is>
          <t>CTR-01160</t>
        </is>
      </c>
      <c r="B1082" t="n">
        <v>8623.449999999999</v>
      </c>
    </row>
    <row r="1083">
      <c r="A1083" t="inlineStr">
        <is>
          <t>CTR-01161</t>
        </is>
      </c>
      <c r="B1083" t="n">
        <v>30713.15</v>
      </c>
    </row>
    <row r="1084">
      <c r="A1084" t="inlineStr">
        <is>
          <t>CTR-01162</t>
        </is>
      </c>
      <c r="B1084" t="n">
        <v>56405.37</v>
      </c>
    </row>
    <row r="1085">
      <c r="A1085" t="inlineStr">
        <is>
          <t>CTR-01163</t>
        </is>
      </c>
      <c r="B1085" t="n">
        <v>18295.02</v>
      </c>
    </row>
    <row r="1086">
      <c r="A1086" t="inlineStr">
        <is>
          <t>CTR-01164</t>
        </is>
      </c>
      <c r="B1086" t="n">
        <v>111565.12</v>
      </c>
    </row>
    <row r="1087">
      <c r="A1087" t="inlineStr">
        <is>
          <t>CTR-01165</t>
        </is>
      </c>
      <c r="B1087" t="n">
        <v>11867.73</v>
      </c>
    </row>
    <row r="1088">
      <c r="A1088" t="inlineStr">
        <is>
          <t>CTR-01166</t>
        </is>
      </c>
      <c r="B1088" t="n">
        <v>44229.84</v>
      </c>
    </row>
    <row r="1089">
      <c r="A1089" t="inlineStr">
        <is>
          <t>CTR-01167</t>
        </is>
      </c>
      <c r="B1089" t="n">
        <v>5312.37</v>
      </c>
    </row>
    <row r="1090">
      <c r="A1090" t="inlineStr">
        <is>
          <t>CTR-01168</t>
        </is>
      </c>
      <c r="B1090" t="n">
        <v>5641.09</v>
      </c>
    </row>
    <row r="1091">
      <c r="A1091" t="inlineStr">
        <is>
          <t>CTR-01169</t>
        </is>
      </c>
      <c r="B1091" t="n">
        <v>1248.17</v>
      </c>
    </row>
    <row r="1092">
      <c r="A1092" t="inlineStr">
        <is>
          <t>CTR-01170</t>
        </is>
      </c>
      <c r="B1092" t="n">
        <v>8374.889999999999</v>
      </c>
    </row>
    <row r="1093">
      <c r="A1093" t="inlineStr">
        <is>
          <t>CTR-01171</t>
        </is>
      </c>
      <c r="B1093" t="n">
        <v>88072.08</v>
      </c>
    </row>
    <row r="1094">
      <c r="A1094" t="inlineStr">
        <is>
          <t>CTR-01172</t>
        </is>
      </c>
      <c r="B1094" t="n">
        <v>25594.56</v>
      </c>
    </row>
    <row r="1095">
      <c r="A1095" t="inlineStr">
        <is>
          <t>CTR-01173</t>
        </is>
      </c>
      <c r="B1095" t="n">
        <v>47295.52</v>
      </c>
    </row>
    <row r="1096">
      <c r="A1096" t="inlineStr">
        <is>
          <t>CTR-01174</t>
        </is>
      </c>
      <c r="B1096" t="n">
        <v>37007.84</v>
      </c>
    </row>
    <row r="1097">
      <c r="A1097" t="inlineStr">
        <is>
          <t>CTR-01175</t>
        </is>
      </c>
      <c r="B1097" t="n">
        <v>25856.46</v>
      </c>
    </row>
    <row r="1098">
      <c r="A1098" t="inlineStr">
        <is>
          <t>CTR-01176</t>
        </is>
      </c>
      <c r="B1098" t="n">
        <v>53947.96</v>
      </c>
    </row>
    <row r="1099">
      <c r="A1099" t="inlineStr">
        <is>
          <t>CTR-01177</t>
        </is>
      </c>
      <c r="B1099" t="n">
        <v>11047.68</v>
      </c>
    </row>
    <row r="1100">
      <c r="A1100" t="inlineStr">
        <is>
          <t>CTR-01178</t>
        </is>
      </c>
      <c r="B1100" t="n">
        <v>23037.75</v>
      </c>
    </row>
    <row r="1101">
      <c r="A1101" t="inlineStr">
        <is>
          <t>CTR-01179</t>
        </is>
      </c>
      <c r="B1101" t="n">
        <v>767.9299999999999</v>
      </c>
    </row>
    <row r="1102">
      <c r="A1102" t="inlineStr">
        <is>
          <t>CTR-01180</t>
        </is>
      </c>
      <c r="B1102" t="n">
        <v>16653.56</v>
      </c>
    </row>
    <row r="1103">
      <c r="A1103" t="inlineStr">
        <is>
          <t>CTR-01181</t>
        </is>
      </c>
      <c r="B1103" t="n">
        <v>3721.08</v>
      </c>
    </row>
    <row r="1104">
      <c r="A1104" t="inlineStr">
        <is>
          <t>CTR-01183</t>
        </is>
      </c>
      <c r="B1104" t="n">
        <v>5622.64</v>
      </c>
    </row>
    <row r="1105">
      <c r="A1105" t="inlineStr">
        <is>
          <t>CTR-01184</t>
        </is>
      </c>
      <c r="B1105" t="n">
        <v>94244.66</v>
      </c>
    </row>
    <row r="1106">
      <c r="A1106" t="inlineStr">
        <is>
          <t>CTR-01185</t>
        </is>
      </c>
      <c r="B1106" t="n">
        <v>1758.71</v>
      </c>
    </row>
    <row r="1107">
      <c r="A1107" t="inlineStr">
        <is>
          <t>CTR-01186</t>
        </is>
      </c>
      <c r="B1107" t="n">
        <v>15883.45</v>
      </c>
    </row>
    <row r="1108">
      <c r="A1108" t="inlineStr">
        <is>
          <t>CTR-01187</t>
        </is>
      </c>
      <c r="B1108" t="n">
        <v>43144.68</v>
      </c>
    </row>
    <row r="1109">
      <c r="A1109" t="inlineStr">
        <is>
          <t>CTR-01188</t>
        </is>
      </c>
      <c r="B1109" t="n">
        <v>21672.3</v>
      </c>
    </row>
    <row r="1110">
      <c r="A1110" t="inlineStr">
        <is>
          <t>CTR-01189</t>
        </is>
      </c>
      <c r="B1110" t="n">
        <v>20294.4</v>
      </c>
    </row>
    <row r="1111">
      <c r="A1111" t="inlineStr">
        <is>
          <t>CTR-01190</t>
        </is>
      </c>
      <c r="B1111" t="n">
        <v>23905.35</v>
      </c>
    </row>
    <row r="1112">
      <c r="A1112" t="inlineStr">
        <is>
          <t>CTR-01191</t>
        </is>
      </c>
      <c r="B1112" t="n">
        <v>23419</v>
      </c>
    </row>
    <row r="1113">
      <c r="A1113" t="inlineStr">
        <is>
          <t>CTR-01192</t>
        </is>
      </c>
      <c r="B1113" t="n">
        <v>4740.69</v>
      </c>
    </row>
    <row r="1114">
      <c r="A1114" t="inlineStr">
        <is>
          <t>CTR-01193</t>
        </is>
      </c>
      <c r="B1114" t="n">
        <v>24467.24</v>
      </c>
    </row>
    <row r="1115">
      <c r="A1115" t="inlineStr">
        <is>
          <t>CTR-01195</t>
        </is>
      </c>
      <c r="B1115" t="n">
        <v>13310.75</v>
      </c>
    </row>
    <row r="1116">
      <c r="A1116" t="inlineStr">
        <is>
          <t>CTR-01196</t>
        </is>
      </c>
      <c r="B1116" t="n">
        <v>17677.31</v>
      </c>
    </row>
    <row r="1117">
      <c r="A1117" t="inlineStr">
        <is>
          <t>CTR-01197</t>
        </is>
      </c>
      <c r="B1117" t="n">
        <v>11665.98</v>
      </c>
    </row>
    <row r="1118">
      <c r="A1118" t="inlineStr">
        <is>
          <t>CTR-01199</t>
        </is>
      </c>
      <c r="B1118" t="n">
        <v>38544.54</v>
      </c>
    </row>
    <row r="1119">
      <c r="A1119" t="inlineStr">
        <is>
          <t>CTR-01200</t>
        </is>
      </c>
      <c r="B1119" t="n">
        <v>9628.799999999999</v>
      </c>
    </row>
    <row r="1120">
      <c r="A1120" t="inlineStr">
        <is>
          <t>CTR-01201</t>
        </is>
      </c>
      <c r="B1120" t="n">
        <v>85256.64</v>
      </c>
    </row>
    <row r="1121">
      <c r="A1121" t="inlineStr">
        <is>
          <t>CTR-01202</t>
        </is>
      </c>
      <c r="B1121" t="n">
        <v>4717.8</v>
      </c>
    </row>
    <row r="1122">
      <c r="A1122" t="inlineStr">
        <is>
          <t>CTR-01203</t>
        </is>
      </c>
      <c r="B1122" t="n">
        <v>112180.45</v>
      </c>
    </row>
    <row r="1123">
      <c r="A1123" t="inlineStr">
        <is>
          <t>CTR-01204</t>
        </is>
      </c>
      <c r="B1123" t="n">
        <v>15851.52</v>
      </c>
    </row>
    <row r="1124">
      <c r="A1124" t="inlineStr">
        <is>
          <t>CTR-01205</t>
        </is>
      </c>
      <c r="B1124" t="n">
        <v>22274.85</v>
      </c>
    </row>
    <row r="1125">
      <c r="A1125" t="inlineStr">
        <is>
          <t>CTR-01206</t>
        </is>
      </c>
      <c r="B1125" t="n">
        <v>130239.98</v>
      </c>
    </row>
    <row r="1126">
      <c r="A1126" t="inlineStr">
        <is>
          <t>CTR-01207</t>
        </is>
      </c>
      <c r="B1126" t="n">
        <v>41546.72</v>
      </c>
    </row>
    <row r="1127">
      <c r="A1127" t="inlineStr">
        <is>
          <t>CTR-01208</t>
        </is>
      </c>
      <c r="B1127" t="n">
        <v>13274.82</v>
      </c>
    </row>
    <row r="1128">
      <c r="A1128" t="inlineStr">
        <is>
          <t>CTR-01209</t>
        </is>
      </c>
      <c r="B1128" t="n">
        <v>6513.84</v>
      </c>
    </row>
    <row r="1129">
      <c r="A1129" t="inlineStr">
        <is>
          <t>CTR-01210</t>
        </is>
      </c>
      <c r="B1129" t="n">
        <v>16222.03</v>
      </c>
    </row>
    <row r="1130">
      <c r="A1130" t="inlineStr">
        <is>
          <t>CTR-01211</t>
        </is>
      </c>
      <c r="B1130" t="n">
        <v>257457.09</v>
      </c>
    </row>
    <row r="1131">
      <c r="A1131" t="inlineStr">
        <is>
          <t>CTR-01212</t>
        </is>
      </c>
      <c r="B1131" t="n">
        <v>11704.95</v>
      </c>
    </row>
    <row r="1132">
      <c r="A1132" t="inlineStr">
        <is>
          <t>CTR-01213</t>
        </is>
      </c>
      <c r="B1132" t="n">
        <v>6615.2</v>
      </c>
    </row>
    <row r="1133">
      <c r="A1133" t="inlineStr">
        <is>
          <t>CTR-01214</t>
        </is>
      </c>
      <c r="B1133" t="n">
        <v>3405.48</v>
      </c>
    </row>
    <row r="1134">
      <c r="A1134" t="inlineStr">
        <is>
          <t>CTR-01215</t>
        </is>
      </c>
      <c r="B1134" t="n">
        <v>20914.95</v>
      </c>
    </row>
    <row r="1135">
      <c r="A1135" t="inlineStr">
        <is>
          <t>CTR-01217</t>
        </is>
      </c>
      <c r="B1135" t="n">
        <v>68577.46000000001</v>
      </c>
    </row>
    <row r="1136">
      <c r="A1136" t="inlineStr">
        <is>
          <t>CTR-01218</t>
        </is>
      </c>
      <c r="B1136" t="n">
        <v>30149.55</v>
      </c>
    </row>
    <row r="1137">
      <c r="A1137" t="inlineStr">
        <is>
          <t>CTR-01219</t>
        </is>
      </c>
      <c r="B1137" t="n">
        <v>20613.72</v>
      </c>
    </row>
    <row r="1138">
      <c r="A1138" t="inlineStr">
        <is>
          <t>CTR-01220</t>
        </is>
      </c>
      <c r="B1138" t="n">
        <v>52536.57</v>
      </c>
    </row>
    <row r="1139">
      <c r="A1139" t="inlineStr">
        <is>
          <t>CTR-01221</t>
        </is>
      </c>
      <c r="B1139" t="n">
        <v>17540.46</v>
      </c>
    </row>
    <row r="1140">
      <c r="A1140" t="inlineStr">
        <is>
          <t>CTR-01222</t>
        </is>
      </c>
      <c r="B1140" t="n">
        <v>103263.02</v>
      </c>
    </row>
    <row r="1141">
      <c r="A1141" t="inlineStr">
        <is>
          <t>CTR-01223</t>
        </is>
      </c>
      <c r="B1141" t="n">
        <v>15162.6</v>
      </c>
    </row>
    <row r="1142">
      <c r="A1142" t="inlineStr">
        <is>
          <t>CTR-01224</t>
        </is>
      </c>
      <c r="B1142" t="n">
        <v>32418.08</v>
      </c>
    </row>
    <row r="1143">
      <c r="A1143" t="inlineStr">
        <is>
          <t>CTR-01225</t>
        </is>
      </c>
      <c r="B1143" t="n">
        <v>6739.28</v>
      </c>
    </row>
    <row r="1144">
      <c r="A1144" t="inlineStr">
        <is>
          <t>CTR-01226</t>
        </is>
      </c>
      <c r="B1144" t="n">
        <v>28053.06</v>
      </c>
    </row>
    <row r="1145">
      <c r="A1145" t="inlineStr">
        <is>
          <t>CTR-01227</t>
        </is>
      </c>
      <c r="B1145" t="n">
        <v>98318.44</v>
      </c>
    </row>
    <row r="1146">
      <c r="A1146" t="inlineStr">
        <is>
          <t>CTR-01228</t>
        </is>
      </c>
      <c r="B1146" t="n">
        <v>123009.57</v>
      </c>
    </row>
    <row r="1147">
      <c r="A1147" t="inlineStr">
        <is>
          <t>CTR-01229</t>
        </is>
      </c>
      <c r="B1147" t="n">
        <v>3838.68</v>
      </c>
    </row>
    <row r="1148">
      <c r="A1148" t="inlineStr">
        <is>
          <t>CTR-01230</t>
        </is>
      </c>
      <c r="B1148" t="n">
        <v>12615.6</v>
      </c>
    </row>
    <row r="1149">
      <c r="A1149" t="inlineStr">
        <is>
          <t>CTR-01231</t>
        </is>
      </c>
      <c r="B1149" t="n">
        <v>47339.32</v>
      </c>
    </row>
    <row r="1150">
      <c r="A1150" t="inlineStr">
        <is>
          <t>CTR-01232</t>
        </is>
      </c>
      <c r="B1150" t="n">
        <v>8614.26</v>
      </c>
    </row>
    <row r="1151">
      <c r="A1151" t="inlineStr">
        <is>
          <t>CTR-01233</t>
        </is>
      </c>
      <c r="B1151" t="n">
        <v>6260.880000000001</v>
      </c>
    </row>
    <row r="1152">
      <c r="A1152" t="inlineStr">
        <is>
          <t>CTR-01234</t>
        </is>
      </c>
      <c r="B1152" t="n">
        <v>39719.34</v>
      </c>
    </row>
    <row r="1153">
      <c r="A1153" t="inlineStr">
        <is>
          <t>CTR-01235</t>
        </is>
      </c>
      <c r="B1153" t="n">
        <v>14281.8</v>
      </c>
    </row>
    <row r="1154">
      <c r="A1154" t="inlineStr">
        <is>
          <t>CTR-01236</t>
        </is>
      </c>
      <c r="B1154" t="n">
        <v>61790.60000000001</v>
      </c>
    </row>
    <row r="1155">
      <c r="A1155" t="inlineStr">
        <is>
          <t>CTR-01237</t>
        </is>
      </c>
      <c r="B1155" t="n">
        <v>19440.77</v>
      </c>
    </row>
    <row r="1156">
      <c r="A1156" t="inlineStr">
        <is>
          <t>CTR-01238</t>
        </is>
      </c>
      <c r="B1156" t="n">
        <v>15356.74</v>
      </c>
    </row>
    <row r="1157">
      <c r="A1157" t="inlineStr">
        <is>
          <t>CTR-01239</t>
        </is>
      </c>
      <c r="B1157" t="n">
        <v>26951.26</v>
      </c>
    </row>
    <row r="1158">
      <c r="A1158" t="inlineStr">
        <is>
          <t>CTR-01240</t>
        </is>
      </c>
      <c r="B1158" t="n">
        <v>25600.33</v>
      </c>
    </row>
    <row r="1159">
      <c r="A1159" t="inlineStr">
        <is>
          <t>CTR-01241</t>
        </is>
      </c>
      <c r="B1159" t="n">
        <v>12082.92</v>
      </c>
    </row>
    <row r="1160">
      <c r="A1160" t="inlineStr">
        <is>
          <t>CTR-01242</t>
        </is>
      </c>
      <c r="B1160" t="n">
        <v>10536.86</v>
      </c>
    </row>
    <row r="1161">
      <c r="A1161" t="inlineStr">
        <is>
          <t>CTR-01244</t>
        </is>
      </c>
      <c r="B1161" t="n">
        <v>5629.200000000001</v>
      </c>
    </row>
    <row r="1162">
      <c r="A1162" t="inlineStr">
        <is>
          <t>CTR-01245</t>
        </is>
      </c>
      <c r="B1162" t="n">
        <v>6374.79</v>
      </c>
    </row>
    <row r="1163">
      <c r="A1163" t="inlineStr">
        <is>
          <t>CTR-01246</t>
        </is>
      </c>
      <c r="B1163" t="n">
        <v>25504.27</v>
      </c>
    </row>
    <row r="1164">
      <c r="A1164" t="inlineStr">
        <is>
          <t>CTR-01247</t>
        </is>
      </c>
      <c r="B1164" t="n">
        <v>50835.99</v>
      </c>
    </row>
    <row r="1165">
      <c r="A1165" t="inlineStr">
        <is>
          <t>CTR-01248</t>
        </is>
      </c>
      <c r="B1165" t="n">
        <v>12558.42</v>
      </c>
    </row>
    <row r="1166">
      <c r="A1166" t="inlineStr">
        <is>
          <t>CTR-01249</t>
        </is>
      </c>
      <c r="B1166" t="n">
        <v>2891.64</v>
      </c>
    </row>
    <row r="1167">
      <c r="A1167" t="inlineStr">
        <is>
          <t>CTR-01250</t>
        </is>
      </c>
      <c r="B1167" t="n">
        <v>22507.29</v>
      </c>
    </row>
    <row r="1168">
      <c r="A1168" t="inlineStr">
        <is>
          <t>CTR-01251</t>
        </is>
      </c>
      <c r="B1168" t="n">
        <v>25599.98</v>
      </c>
    </row>
    <row r="1169">
      <c r="A1169" t="inlineStr">
        <is>
          <t>CTR-01252</t>
        </is>
      </c>
      <c r="B1169" t="n">
        <v>42184.07</v>
      </c>
    </row>
    <row r="1170">
      <c r="A1170" t="inlineStr">
        <is>
          <t>CTR-01253</t>
        </is>
      </c>
      <c r="B1170" t="n">
        <v>33511.06</v>
      </c>
    </row>
    <row r="1171">
      <c r="A1171" t="inlineStr">
        <is>
          <t>CTR-01254</t>
        </is>
      </c>
      <c r="B1171" t="n">
        <v>12359.2</v>
      </c>
    </row>
    <row r="1172">
      <c r="A1172" t="inlineStr">
        <is>
          <t>CTR-01255</t>
        </is>
      </c>
      <c r="B1172" t="n">
        <v>36551.19</v>
      </c>
    </row>
    <row r="1173">
      <c r="A1173" t="inlineStr">
        <is>
          <t>CTR-01256</t>
        </is>
      </c>
      <c r="B1173" t="n">
        <v>3535.63</v>
      </c>
    </row>
    <row r="1174">
      <c r="A1174" t="inlineStr">
        <is>
          <t>CTR-01257</t>
        </is>
      </c>
      <c r="B1174" t="n">
        <v>4959.3</v>
      </c>
    </row>
    <row r="1175">
      <c r="A1175" t="inlineStr">
        <is>
          <t>CTR-01258</t>
        </is>
      </c>
      <c r="B1175" t="n">
        <v>36144.44</v>
      </c>
    </row>
    <row r="1176">
      <c r="A1176" t="inlineStr">
        <is>
          <t>CTR-01259</t>
        </is>
      </c>
      <c r="B1176" t="n">
        <v>7568.95</v>
      </c>
    </row>
    <row r="1177">
      <c r="A1177" t="inlineStr">
        <is>
          <t>CTR-01260</t>
        </is>
      </c>
      <c r="B1177" t="n">
        <v>14695.55</v>
      </c>
    </row>
    <row r="1178">
      <c r="A1178" t="inlineStr">
        <is>
          <t>CTR-01261</t>
        </is>
      </c>
      <c r="B1178" t="n">
        <v>24538.18</v>
      </c>
    </row>
    <row r="1179">
      <c r="A1179" t="inlineStr">
        <is>
          <t>CTR-01262</t>
        </is>
      </c>
      <c r="B1179" t="n">
        <v>81408</v>
      </c>
    </row>
    <row r="1180">
      <c r="A1180" t="inlineStr">
        <is>
          <t>CTR-01263</t>
        </is>
      </c>
      <c r="B1180" t="n">
        <v>11246.58</v>
      </c>
    </row>
    <row r="1181">
      <c r="A1181" t="inlineStr">
        <is>
          <t>CTR-01264</t>
        </is>
      </c>
      <c r="B1181" t="n">
        <v>8553.870000000001</v>
      </c>
    </row>
    <row r="1182">
      <c r="A1182" t="inlineStr">
        <is>
          <t>CTR-01265</t>
        </is>
      </c>
      <c r="B1182" t="n">
        <v>1491</v>
      </c>
    </row>
    <row r="1183">
      <c r="A1183" t="inlineStr">
        <is>
          <t>CTR-01266</t>
        </is>
      </c>
      <c r="B1183" t="n">
        <v>25634.76</v>
      </c>
    </row>
    <row r="1184">
      <c r="A1184" t="inlineStr">
        <is>
          <t>CTR-01267</t>
        </is>
      </c>
      <c r="B1184" t="n">
        <v>15954.64</v>
      </c>
    </row>
    <row r="1185">
      <c r="A1185" t="inlineStr">
        <is>
          <t>CTR-01268</t>
        </is>
      </c>
      <c r="B1185" t="n">
        <v>44305.17</v>
      </c>
    </row>
    <row r="1186">
      <c r="A1186" t="inlineStr">
        <is>
          <t>CTR-01269</t>
        </is>
      </c>
      <c r="B1186" t="n">
        <v>4920.16</v>
      </c>
    </row>
    <row r="1187">
      <c r="A1187" t="inlineStr">
        <is>
          <t>CTR-01270</t>
        </is>
      </c>
      <c r="B1187" t="n">
        <v>7967.82</v>
      </c>
    </row>
    <row r="1188">
      <c r="A1188" t="inlineStr">
        <is>
          <t>CTR-01271</t>
        </is>
      </c>
      <c r="B1188" t="n">
        <v>16623.28</v>
      </c>
    </row>
    <row r="1189">
      <c r="A1189" t="inlineStr">
        <is>
          <t>CTR-01272</t>
        </is>
      </c>
      <c r="B1189" t="n">
        <v>1378.06</v>
      </c>
    </row>
    <row r="1190">
      <c r="A1190" t="inlineStr">
        <is>
          <t>CTR-01273</t>
        </is>
      </c>
      <c r="B1190" t="n">
        <v>7804.240000000001</v>
      </c>
    </row>
    <row r="1191">
      <c r="A1191" t="inlineStr">
        <is>
          <t>CTR-01274</t>
        </is>
      </c>
      <c r="B1191" t="n">
        <v>3185</v>
      </c>
    </row>
    <row r="1192">
      <c r="A1192" t="inlineStr">
        <is>
          <t>CTR-01275</t>
        </is>
      </c>
      <c r="B1192" t="n">
        <v>55890.92</v>
      </c>
    </row>
    <row r="1193">
      <c r="A1193" t="inlineStr">
        <is>
          <t>CTR-01276</t>
        </is>
      </c>
      <c r="B1193" t="n">
        <v>130517.69</v>
      </c>
    </row>
    <row r="1194">
      <c r="A1194" t="inlineStr">
        <is>
          <t>CTR-01277</t>
        </is>
      </c>
      <c r="B1194" t="n">
        <v>11293.8</v>
      </c>
    </row>
    <row r="1195">
      <c r="A1195" t="inlineStr">
        <is>
          <t>CTR-01278</t>
        </is>
      </c>
      <c r="B1195" t="n">
        <v>51663.66</v>
      </c>
    </row>
    <row r="1196">
      <c r="A1196" t="inlineStr">
        <is>
          <t>CTR-01279</t>
        </is>
      </c>
      <c r="B1196" t="n">
        <v>89525.37</v>
      </c>
    </row>
    <row r="1197">
      <c r="A1197" t="inlineStr">
        <is>
          <t>CTR-01280</t>
        </is>
      </c>
      <c r="B1197" t="n">
        <v>6956.19</v>
      </c>
    </row>
    <row r="1198">
      <c r="A1198" t="inlineStr">
        <is>
          <t>CTR-01281</t>
        </is>
      </c>
      <c r="B1198" t="n">
        <v>34985.34</v>
      </c>
    </row>
    <row r="1199">
      <c r="A1199" t="inlineStr">
        <is>
          <t>CTR-01282</t>
        </is>
      </c>
      <c r="B1199" t="n">
        <v>613.27</v>
      </c>
    </row>
    <row r="1200">
      <c r="A1200" t="inlineStr">
        <is>
          <t>CTR-01283</t>
        </is>
      </c>
      <c r="B1200" t="n">
        <v>18622.95</v>
      </c>
    </row>
    <row r="1201">
      <c r="A1201" t="inlineStr">
        <is>
          <t>CTR-01284</t>
        </is>
      </c>
      <c r="B1201" t="n">
        <v>8989.860000000001</v>
      </c>
    </row>
    <row r="1202">
      <c r="A1202" t="inlineStr">
        <is>
          <t>CTR-01285</t>
        </is>
      </c>
      <c r="B1202" t="n">
        <v>14713.86</v>
      </c>
    </row>
    <row r="1203">
      <c r="A1203" t="inlineStr">
        <is>
          <t>CTR-01286</t>
        </is>
      </c>
      <c r="B1203" t="n">
        <v>29230.52</v>
      </c>
    </row>
    <row r="1204">
      <c r="A1204" t="inlineStr">
        <is>
          <t>CTR-01287</t>
        </is>
      </c>
      <c r="B1204" t="n">
        <v>10528.36</v>
      </c>
    </row>
    <row r="1205">
      <c r="A1205" t="inlineStr">
        <is>
          <t>CTR-01288</t>
        </is>
      </c>
      <c r="B1205" t="n">
        <v>1930.4</v>
      </c>
    </row>
    <row r="1206">
      <c r="A1206" t="inlineStr">
        <is>
          <t>CTR-01289</t>
        </is>
      </c>
      <c r="B1206" t="n">
        <v>68012.16</v>
      </c>
    </row>
    <row r="1207">
      <c r="A1207" t="inlineStr">
        <is>
          <t>CTR-01290</t>
        </is>
      </c>
      <c r="B1207" t="n">
        <v>1542.9</v>
      </c>
    </row>
    <row r="1208">
      <c r="A1208" t="inlineStr">
        <is>
          <t>CTR-01291</t>
        </is>
      </c>
      <c r="B1208" t="n">
        <v>32396</v>
      </c>
    </row>
    <row r="1209">
      <c r="A1209" t="inlineStr">
        <is>
          <t>CTR-01292</t>
        </is>
      </c>
      <c r="B1209" t="n">
        <v>25096.98</v>
      </c>
    </row>
    <row r="1210">
      <c r="A1210" t="inlineStr">
        <is>
          <t>CTR-01293</t>
        </is>
      </c>
      <c r="B1210" t="n">
        <v>5841.46</v>
      </c>
    </row>
    <row r="1211">
      <c r="A1211" t="inlineStr">
        <is>
          <t>CTR-01294</t>
        </is>
      </c>
      <c r="B1211" t="n">
        <v>11790.7</v>
      </c>
    </row>
    <row r="1212">
      <c r="A1212" t="inlineStr">
        <is>
          <t>CTR-01295</t>
        </is>
      </c>
      <c r="B1212" t="n">
        <v>60710.57000000001</v>
      </c>
    </row>
    <row r="1213">
      <c r="A1213" t="inlineStr">
        <is>
          <t>CTR-01296</t>
        </is>
      </c>
      <c r="B1213" t="n">
        <v>42424.5</v>
      </c>
    </row>
    <row r="1214">
      <c r="A1214" t="inlineStr">
        <is>
          <t>CTR-01297</t>
        </is>
      </c>
      <c r="B1214" t="n">
        <v>8402.969999999999</v>
      </c>
    </row>
    <row r="1215">
      <c r="A1215" t="inlineStr">
        <is>
          <t>CTR-01298</t>
        </is>
      </c>
      <c r="B1215" t="n">
        <v>1800.67</v>
      </c>
    </row>
    <row r="1216">
      <c r="A1216" t="inlineStr">
        <is>
          <t>CTR-01300</t>
        </is>
      </c>
      <c r="B1216" t="n">
        <v>616.98</v>
      </c>
    </row>
    <row r="1217">
      <c r="A1217" t="inlineStr">
        <is>
          <t>CTR-01301</t>
        </is>
      </c>
      <c r="B1217" t="n">
        <v>11601.6</v>
      </c>
    </row>
    <row r="1218">
      <c r="A1218" t="inlineStr">
        <is>
          <t>CTR-01302</t>
        </is>
      </c>
      <c r="B1218" t="n">
        <v>49860.16</v>
      </c>
    </row>
    <row r="1219">
      <c r="A1219" t="inlineStr">
        <is>
          <t>CTR-01303</t>
        </is>
      </c>
      <c r="B1219" t="n">
        <v>37419.06</v>
      </c>
    </row>
    <row r="1220">
      <c r="A1220" t="inlineStr">
        <is>
          <t>CTR-01304</t>
        </is>
      </c>
      <c r="B1220" t="n">
        <v>4959</v>
      </c>
    </row>
    <row r="1221">
      <c r="A1221" t="inlineStr">
        <is>
          <t>CTR-01305</t>
        </is>
      </c>
      <c r="B1221" t="n">
        <v>1824.47</v>
      </c>
    </row>
    <row r="1222">
      <c r="A1222" t="inlineStr">
        <is>
          <t>CTR-01306</t>
        </is>
      </c>
      <c r="B1222" t="n">
        <v>65815.08</v>
      </c>
    </row>
    <row r="1223">
      <c r="A1223" t="inlineStr">
        <is>
          <t>CTR-01307</t>
        </is>
      </c>
      <c r="B1223" t="n">
        <v>12738.95</v>
      </c>
    </row>
    <row r="1224">
      <c r="A1224" t="inlineStr">
        <is>
          <t>CTR-01308</t>
        </is>
      </c>
      <c r="B1224" t="n">
        <v>15061.6</v>
      </c>
    </row>
    <row r="1225">
      <c r="A1225" t="inlineStr">
        <is>
          <t>CTR-01309</t>
        </is>
      </c>
      <c r="B1225" t="n">
        <v>9119.57</v>
      </c>
    </row>
    <row r="1226">
      <c r="A1226" t="inlineStr">
        <is>
          <t>CTR-01310</t>
        </is>
      </c>
      <c r="B1226" t="n">
        <v>43235.4</v>
      </c>
    </row>
    <row r="1227">
      <c r="A1227" t="inlineStr">
        <is>
          <t>CTR-01311</t>
        </is>
      </c>
      <c r="B1227" t="n">
        <v>16275.15</v>
      </c>
    </row>
    <row r="1228">
      <c r="A1228" t="inlineStr">
        <is>
          <t>CTR-01312</t>
        </is>
      </c>
      <c r="B1228" t="n">
        <v>5464.12</v>
      </c>
    </row>
    <row r="1229">
      <c r="A1229" t="inlineStr">
        <is>
          <t>CTR-01313</t>
        </is>
      </c>
      <c r="B1229" t="n">
        <v>44198.48</v>
      </c>
    </row>
    <row r="1230">
      <c r="A1230" t="inlineStr">
        <is>
          <t>CTR-01314</t>
        </is>
      </c>
      <c r="B1230" t="n">
        <v>8234.460000000001</v>
      </c>
    </row>
    <row r="1231">
      <c r="A1231" t="inlineStr">
        <is>
          <t>CTR-01315</t>
        </is>
      </c>
      <c r="B1231" t="n">
        <v>12564.52</v>
      </c>
    </row>
    <row r="1232">
      <c r="A1232" t="inlineStr">
        <is>
          <t>CTR-01316</t>
        </is>
      </c>
      <c r="B1232" t="n">
        <v>6075.03</v>
      </c>
    </row>
    <row r="1233">
      <c r="A1233" t="inlineStr">
        <is>
          <t>CTR-01317</t>
        </is>
      </c>
      <c r="B1233" t="n">
        <v>644.54</v>
      </c>
    </row>
    <row r="1234">
      <c r="A1234" t="inlineStr">
        <is>
          <t>CTR-01318</t>
        </is>
      </c>
      <c r="B1234" t="n">
        <v>15958.17</v>
      </c>
    </row>
    <row r="1235">
      <c r="A1235" t="inlineStr">
        <is>
          <t>CTR-01319</t>
        </is>
      </c>
      <c r="B1235" t="n">
        <v>4338.5</v>
      </c>
    </row>
    <row r="1236">
      <c r="A1236" t="inlineStr">
        <is>
          <t>CTR-01320</t>
        </is>
      </c>
      <c r="B1236" t="n">
        <v>30479.35</v>
      </c>
    </row>
    <row r="1237">
      <c r="A1237" t="inlineStr">
        <is>
          <t>CTR-01321</t>
        </is>
      </c>
      <c r="B1237" t="n">
        <v>32300.24</v>
      </c>
    </row>
    <row r="1238">
      <c r="A1238" t="inlineStr">
        <is>
          <t>CTR-01322</t>
        </is>
      </c>
      <c r="B1238" t="n">
        <v>4660</v>
      </c>
    </row>
    <row r="1239">
      <c r="A1239" t="inlineStr">
        <is>
          <t>CTR-01323</t>
        </is>
      </c>
      <c r="B1239" t="n">
        <v>23725.6</v>
      </c>
    </row>
    <row r="1240">
      <c r="A1240" t="inlineStr">
        <is>
          <t>CTR-01324</t>
        </is>
      </c>
      <c r="B1240" t="n">
        <v>73643.34</v>
      </c>
    </row>
    <row r="1241">
      <c r="A1241" t="inlineStr">
        <is>
          <t>CTR-01325</t>
        </is>
      </c>
      <c r="B1241" t="n">
        <v>100419</v>
      </c>
    </row>
    <row r="1242">
      <c r="A1242" t="inlineStr">
        <is>
          <t>CTR-01327</t>
        </is>
      </c>
      <c r="B1242" t="n">
        <v>572.04</v>
      </c>
    </row>
    <row r="1243">
      <c r="A1243" t="inlineStr">
        <is>
          <t>CTR-01328</t>
        </is>
      </c>
      <c r="B1243" t="n">
        <v>103405.39</v>
      </c>
    </row>
    <row r="1244">
      <c r="A1244" t="inlineStr">
        <is>
          <t>CTR-01329</t>
        </is>
      </c>
      <c r="B1244" t="n">
        <v>32592.6</v>
      </c>
    </row>
    <row r="1245">
      <c r="A1245" t="inlineStr">
        <is>
          <t>CTR-01330</t>
        </is>
      </c>
      <c r="B1245" t="n">
        <v>18691.71</v>
      </c>
    </row>
    <row r="1246">
      <c r="A1246" t="inlineStr">
        <is>
          <t>CTR-01331</t>
        </is>
      </c>
      <c r="B1246" t="n">
        <v>30016.44</v>
      </c>
    </row>
    <row r="1247">
      <c r="A1247" t="inlineStr">
        <is>
          <t>CTR-01332</t>
        </is>
      </c>
      <c r="B1247" t="n">
        <v>5587.14</v>
      </c>
    </row>
    <row r="1248">
      <c r="A1248" t="inlineStr">
        <is>
          <t>CTR-01333</t>
        </is>
      </c>
      <c r="B1248" t="n">
        <v>6968.150000000001</v>
      </c>
    </row>
    <row r="1249">
      <c r="A1249" t="inlineStr">
        <is>
          <t>CTR-01334</t>
        </is>
      </c>
      <c r="B1249" t="n">
        <v>36281.81</v>
      </c>
    </row>
    <row r="1250">
      <c r="A1250" t="inlineStr">
        <is>
          <t>CTR-01335</t>
        </is>
      </c>
      <c r="B1250" t="n">
        <v>8540.48</v>
      </c>
    </row>
    <row r="1251">
      <c r="A1251" t="inlineStr">
        <is>
          <t>CTR-01336</t>
        </is>
      </c>
      <c r="B1251" t="n">
        <v>21606.9</v>
      </c>
    </row>
    <row r="1252">
      <c r="A1252" t="inlineStr">
        <is>
          <t>CTR-01337</t>
        </is>
      </c>
      <c r="B1252" t="n">
        <v>4256.21</v>
      </c>
    </row>
    <row r="1253">
      <c r="A1253" t="inlineStr">
        <is>
          <t>CTR-01338</t>
        </is>
      </c>
      <c r="B1253" t="n">
        <v>29261.21</v>
      </c>
    </row>
    <row r="1254">
      <c r="A1254" t="inlineStr">
        <is>
          <t>CTR-01339</t>
        </is>
      </c>
      <c r="B1254" t="n">
        <v>14284.83</v>
      </c>
    </row>
    <row r="1255">
      <c r="A1255" t="inlineStr">
        <is>
          <t>CTR-01340</t>
        </is>
      </c>
      <c r="B1255" t="n">
        <v>5556.16</v>
      </c>
    </row>
    <row r="1256">
      <c r="A1256" t="inlineStr">
        <is>
          <t>CTR-01341</t>
        </is>
      </c>
      <c r="B1256" t="n">
        <v>59491.07999999999</v>
      </c>
    </row>
    <row r="1257">
      <c r="A1257" t="inlineStr">
        <is>
          <t>CTR-01342</t>
        </is>
      </c>
      <c r="B1257" t="n">
        <v>66469.12</v>
      </c>
    </row>
    <row r="1258">
      <c r="A1258" t="inlineStr">
        <is>
          <t>CTR-01343</t>
        </is>
      </c>
      <c r="B1258" t="n">
        <v>186970.33</v>
      </c>
    </row>
    <row r="1259">
      <c r="A1259" t="inlineStr">
        <is>
          <t>CTR-01344</t>
        </is>
      </c>
      <c r="B1259" t="n">
        <v>27381.55</v>
      </c>
    </row>
    <row r="1260">
      <c r="A1260" t="inlineStr">
        <is>
          <t>CTR-01345</t>
        </is>
      </c>
      <c r="B1260" t="n">
        <v>17994.64</v>
      </c>
    </row>
    <row r="1261">
      <c r="A1261" t="inlineStr">
        <is>
          <t>CTR-01346</t>
        </is>
      </c>
      <c r="B1261" t="n">
        <v>70059.26999999999</v>
      </c>
    </row>
    <row r="1262">
      <c r="A1262" t="inlineStr">
        <is>
          <t>CTR-01347</t>
        </is>
      </c>
      <c r="B1262" t="n">
        <v>87509.81999999999</v>
      </c>
    </row>
    <row r="1263">
      <c r="A1263" t="inlineStr">
        <is>
          <t>CTR-01348</t>
        </is>
      </c>
      <c r="B1263" t="n">
        <v>30808.58</v>
      </c>
    </row>
    <row r="1264">
      <c r="A1264" t="inlineStr">
        <is>
          <t>CTR-01350</t>
        </is>
      </c>
      <c r="B1264" t="n">
        <v>10218.24</v>
      </c>
    </row>
    <row r="1265">
      <c r="A1265" t="inlineStr">
        <is>
          <t>CTR-01351</t>
        </is>
      </c>
      <c r="B1265" t="n">
        <v>16504.62</v>
      </c>
    </row>
    <row r="1266">
      <c r="A1266" t="inlineStr">
        <is>
          <t>CTR-01352</t>
        </is>
      </c>
      <c r="B1266" t="n">
        <v>70115.99000000001</v>
      </c>
    </row>
    <row r="1267">
      <c r="A1267" t="inlineStr">
        <is>
          <t>CTR-01353</t>
        </is>
      </c>
      <c r="B1267" t="n">
        <v>22780.38</v>
      </c>
    </row>
    <row r="1268">
      <c r="A1268" t="inlineStr">
        <is>
          <t>CTR-01354</t>
        </is>
      </c>
      <c r="B1268" t="n">
        <v>15076.71</v>
      </c>
    </row>
    <row r="1269">
      <c r="A1269" t="inlineStr">
        <is>
          <t>CTR-01355</t>
        </is>
      </c>
      <c r="B1269" t="n">
        <v>37733.05</v>
      </c>
    </row>
    <row r="1270">
      <c r="A1270" t="inlineStr">
        <is>
          <t>CTR-01356</t>
        </is>
      </c>
      <c r="B1270" t="n">
        <v>60321.6</v>
      </c>
    </row>
    <row r="1271">
      <c r="A1271" t="inlineStr">
        <is>
          <t>CTR-01357</t>
        </is>
      </c>
      <c r="B1271" t="n">
        <v>17078.56</v>
      </c>
    </row>
    <row r="1272">
      <c r="A1272" t="inlineStr">
        <is>
          <t>CTR-01358</t>
        </is>
      </c>
      <c r="B1272" t="n">
        <v>40787.77</v>
      </c>
    </row>
    <row r="1273">
      <c r="A1273" t="inlineStr">
        <is>
          <t>CTR-01359</t>
        </is>
      </c>
      <c r="B1273" t="n">
        <v>32411.6</v>
      </c>
    </row>
    <row r="1274">
      <c r="A1274" t="inlineStr">
        <is>
          <t>CTR-01360</t>
        </is>
      </c>
      <c r="B1274" t="n">
        <v>19347.75</v>
      </c>
    </row>
    <row r="1275">
      <c r="A1275" t="inlineStr">
        <is>
          <t>CTR-01361</t>
        </is>
      </c>
      <c r="B1275" t="n">
        <v>1312.62</v>
      </c>
    </row>
    <row r="1276">
      <c r="A1276" t="inlineStr">
        <is>
          <t>CTR-01363</t>
        </is>
      </c>
      <c r="B1276" t="n">
        <v>22871.73</v>
      </c>
    </row>
    <row r="1277">
      <c r="A1277" t="inlineStr">
        <is>
          <t>CTR-01364</t>
        </is>
      </c>
      <c r="B1277" t="n">
        <v>3058.33</v>
      </c>
    </row>
    <row r="1278">
      <c r="A1278" t="inlineStr">
        <is>
          <t>CTR-01365</t>
        </is>
      </c>
      <c r="B1278" t="n">
        <v>20162.67</v>
      </c>
    </row>
    <row r="1279">
      <c r="A1279" t="inlineStr">
        <is>
          <t>CTR-01366</t>
        </is>
      </c>
      <c r="B1279" t="n">
        <v>3915.49</v>
      </c>
    </row>
    <row r="1280">
      <c r="A1280" t="inlineStr">
        <is>
          <t>CTR-01367</t>
        </is>
      </c>
      <c r="B1280" t="n">
        <v>3432.12</v>
      </c>
    </row>
    <row r="1281">
      <c r="A1281" t="inlineStr">
        <is>
          <t>CTR-01369</t>
        </is>
      </c>
      <c r="B1281" t="n">
        <v>4094</v>
      </c>
    </row>
    <row r="1282">
      <c r="A1282" t="inlineStr">
        <is>
          <t>CTR-01370</t>
        </is>
      </c>
      <c r="B1282" t="n">
        <v>8412.690000000001</v>
      </c>
    </row>
    <row r="1283">
      <c r="A1283" t="inlineStr">
        <is>
          <t>CTR-01371</t>
        </is>
      </c>
      <c r="B1283" t="n">
        <v>47209.41</v>
      </c>
    </row>
    <row r="1284">
      <c r="A1284" t="inlineStr">
        <is>
          <t>CTR-01372</t>
        </is>
      </c>
      <c r="B1284" t="n">
        <v>58012.08</v>
      </c>
    </row>
    <row r="1285">
      <c r="A1285" t="inlineStr">
        <is>
          <t>CTR-01373</t>
        </is>
      </c>
      <c r="B1285" t="n">
        <v>13266.88</v>
      </c>
    </row>
    <row r="1286">
      <c r="A1286" t="inlineStr">
        <is>
          <t>CTR-01374</t>
        </is>
      </c>
      <c r="B1286" t="n">
        <v>22071.16</v>
      </c>
    </row>
    <row r="1287">
      <c r="A1287" t="inlineStr">
        <is>
          <t>CTR-01375</t>
        </is>
      </c>
      <c r="B1287" t="n">
        <v>58460.44</v>
      </c>
    </row>
    <row r="1288">
      <c r="A1288" t="inlineStr">
        <is>
          <t>CTR-01376</t>
        </is>
      </c>
      <c r="B1288" t="n">
        <v>1749.96</v>
      </c>
    </row>
    <row r="1289">
      <c r="A1289" t="inlineStr">
        <is>
          <t>CTR-01377</t>
        </is>
      </c>
      <c r="B1289" t="n">
        <v>16641.79</v>
      </c>
    </row>
    <row r="1290">
      <c r="A1290" t="inlineStr">
        <is>
          <t>CTR-01378</t>
        </is>
      </c>
      <c r="B1290" t="n">
        <v>17188.92</v>
      </c>
    </row>
    <row r="1291">
      <c r="A1291" t="inlineStr">
        <is>
          <t>CTR-01379</t>
        </is>
      </c>
      <c r="B1291" t="n">
        <v>15006.96</v>
      </c>
    </row>
    <row r="1292">
      <c r="A1292" t="inlineStr">
        <is>
          <t>CTR-01380</t>
        </is>
      </c>
      <c r="B1292" t="n">
        <v>5931.73</v>
      </c>
    </row>
    <row r="1293">
      <c r="A1293" t="inlineStr">
        <is>
          <t>CTR-01381</t>
        </is>
      </c>
      <c r="B1293" t="n">
        <v>36829.94</v>
      </c>
    </row>
    <row r="1294">
      <c r="A1294" t="inlineStr">
        <is>
          <t>CTR-01383</t>
        </is>
      </c>
      <c r="B1294" t="n">
        <v>29253.75</v>
      </c>
    </row>
    <row r="1295">
      <c r="A1295" t="inlineStr">
        <is>
          <t>CTR-01384</t>
        </is>
      </c>
      <c r="B1295" t="n">
        <v>2766.84</v>
      </c>
    </row>
    <row r="1296">
      <c r="A1296" t="inlineStr">
        <is>
          <t>CTR-01385</t>
        </is>
      </c>
      <c r="B1296" t="n">
        <v>55309.74000000001</v>
      </c>
    </row>
    <row r="1297">
      <c r="A1297" t="inlineStr">
        <is>
          <t>CTR-01386</t>
        </is>
      </c>
      <c r="B1297" t="n">
        <v>15986.85</v>
      </c>
    </row>
    <row r="1298">
      <c r="A1298" t="inlineStr">
        <is>
          <t>CTR-01387</t>
        </is>
      </c>
      <c r="B1298" t="n">
        <v>73819.47</v>
      </c>
    </row>
    <row r="1299">
      <c r="A1299" t="inlineStr">
        <is>
          <t>CTR-01388</t>
        </is>
      </c>
      <c r="B1299" t="n">
        <v>4538.700000000001</v>
      </c>
    </row>
    <row r="1300">
      <c r="A1300" t="inlineStr">
        <is>
          <t>CTR-01389</t>
        </is>
      </c>
      <c r="B1300" t="n">
        <v>155596.99</v>
      </c>
    </row>
    <row r="1301">
      <c r="A1301" t="inlineStr">
        <is>
          <t>CTR-01390</t>
        </is>
      </c>
      <c r="B1301" t="n">
        <v>2567.82</v>
      </c>
    </row>
    <row r="1302">
      <c r="A1302" t="inlineStr">
        <is>
          <t>CTR-01391</t>
        </is>
      </c>
      <c r="B1302" t="n">
        <v>7034.039999999999</v>
      </c>
    </row>
    <row r="1303">
      <c r="A1303" t="inlineStr">
        <is>
          <t>CTR-01392</t>
        </is>
      </c>
      <c r="B1303" t="n">
        <v>84330</v>
      </c>
    </row>
    <row r="1304">
      <c r="A1304" t="inlineStr">
        <is>
          <t>CTR-01393</t>
        </is>
      </c>
      <c r="B1304" t="n">
        <v>6028.34</v>
      </c>
    </row>
    <row r="1305">
      <c r="A1305" t="inlineStr">
        <is>
          <t>CTR-01394</t>
        </is>
      </c>
      <c r="B1305" t="n">
        <v>5086.08</v>
      </c>
    </row>
    <row r="1306">
      <c r="A1306" t="inlineStr">
        <is>
          <t>CTR-01395</t>
        </is>
      </c>
      <c r="B1306" t="n">
        <v>26735.03</v>
      </c>
    </row>
    <row r="1307">
      <c r="A1307" t="inlineStr">
        <is>
          <t>CTR-01396</t>
        </is>
      </c>
      <c r="B1307" t="n">
        <v>40910.16</v>
      </c>
    </row>
    <row r="1308">
      <c r="A1308" t="inlineStr">
        <is>
          <t>CTR-01397</t>
        </is>
      </c>
      <c r="B1308" t="n">
        <v>24687.09</v>
      </c>
    </row>
    <row r="1309">
      <c r="A1309" t="inlineStr">
        <is>
          <t>CTR-01399</t>
        </is>
      </c>
      <c r="B1309" t="n">
        <v>52942.25</v>
      </c>
    </row>
    <row r="1310">
      <c r="A1310" t="inlineStr">
        <is>
          <t>CTR-01400</t>
        </is>
      </c>
      <c r="B1310" t="n">
        <v>4169.93</v>
      </c>
    </row>
    <row r="1311">
      <c r="A1311" t="inlineStr">
        <is>
          <t>CTR-01401</t>
        </is>
      </c>
      <c r="B1311" t="n">
        <v>3829.02</v>
      </c>
    </row>
    <row r="1312">
      <c r="A1312" t="inlineStr">
        <is>
          <t>CTR-01402</t>
        </is>
      </c>
      <c r="B1312" t="n">
        <v>22018.95</v>
      </c>
    </row>
    <row r="1313">
      <c r="A1313" t="inlineStr">
        <is>
          <t>CTR-01403</t>
        </is>
      </c>
      <c r="B1313" t="n">
        <v>18753.3</v>
      </c>
    </row>
    <row r="1314">
      <c r="A1314" t="inlineStr">
        <is>
          <t>CTR-01404</t>
        </is>
      </c>
      <c r="B1314" t="n">
        <v>34484.52</v>
      </c>
    </row>
    <row r="1315">
      <c r="A1315" t="inlineStr">
        <is>
          <t>CTR-01405</t>
        </is>
      </c>
      <c r="B1315" t="n">
        <v>25546.5</v>
      </c>
    </row>
    <row r="1316">
      <c r="A1316" t="inlineStr">
        <is>
          <t>CTR-01406</t>
        </is>
      </c>
      <c r="B1316" t="n">
        <v>5664.339999999999</v>
      </c>
    </row>
    <row r="1317">
      <c r="A1317" t="inlineStr">
        <is>
          <t>CTR-01407</t>
        </is>
      </c>
      <c r="B1317" t="n">
        <v>33288.55</v>
      </c>
    </row>
    <row r="1318">
      <c r="A1318" t="inlineStr">
        <is>
          <t>CTR-01408</t>
        </is>
      </c>
      <c r="B1318" t="n">
        <v>5199.68</v>
      </c>
    </row>
    <row r="1319">
      <c r="A1319" t="inlineStr">
        <is>
          <t>CTR-01409</t>
        </is>
      </c>
      <c r="B1319" t="n">
        <v>33385.3</v>
      </c>
    </row>
    <row r="1320">
      <c r="A1320" t="inlineStr">
        <is>
          <t>CTR-01410</t>
        </is>
      </c>
      <c r="B1320" t="n">
        <v>2835.9</v>
      </c>
    </row>
    <row r="1321">
      <c r="A1321" t="inlineStr">
        <is>
          <t>CTR-01411</t>
        </is>
      </c>
      <c r="B1321" t="n">
        <v>16493.4</v>
      </c>
    </row>
    <row r="1322">
      <c r="A1322" t="inlineStr">
        <is>
          <t>CTR-01412</t>
        </is>
      </c>
      <c r="B1322" t="n">
        <v>46143.18</v>
      </c>
    </row>
    <row r="1323">
      <c r="A1323" t="inlineStr">
        <is>
          <t>CTR-01413</t>
        </is>
      </c>
      <c r="B1323" t="n">
        <v>12575.43</v>
      </c>
    </row>
    <row r="1324">
      <c r="A1324" t="inlineStr">
        <is>
          <t>CTR-01414</t>
        </is>
      </c>
      <c r="B1324" t="n">
        <v>6730.04</v>
      </c>
    </row>
    <row r="1325">
      <c r="A1325" t="inlineStr">
        <is>
          <t>CTR-01415</t>
        </is>
      </c>
      <c r="B1325" t="n">
        <v>5705.82</v>
      </c>
    </row>
    <row r="1326">
      <c r="A1326" t="inlineStr">
        <is>
          <t>CTR-01417</t>
        </is>
      </c>
      <c r="B1326" t="n">
        <v>8909.889999999999</v>
      </c>
    </row>
    <row r="1327">
      <c r="A1327" t="inlineStr">
        <is>
          <t>CTR-01418</t>
        </is>
      </c>
      <c r="B1327" t="n">
        <v>31233.93</v>
      </c>
    </row>
    <row r="1328">
      <c r="A1328" t="inlineStr">
        <is>
          <t>CTR-01419</t>
        </is>
      </c>
      <c r="B1328" t="n">
        <v>14585.88</v>
      </c>
    </row>
    <row r="1329">
      <c r="A1329" t="inlineStr">
        <is>
          <t>CTR-01420</t>
        </is>
      </c>
      <c r="B1329" t="n">
        <v>9230.16</v>
      </c>
    </row>
    <row r="1330">
      <c r="A1330" t="inlineStr">
        <is>
          <t>CTR-01421</t>
        </is>
      </c>
      <c r="B1330" t="n">
        <v>79844.11000000002</v>
      </c>
    </row>
    <row r="1331">
      <c r="A1331" t="inlineStr">
        <is>
          <t>CTR-01422</t>
        </is>
      </c>
      <c r="B1331" t="n">
        <v>11879.18</v>
      </c>
    </row>
    <row r="1332">
      <c r="A1332" t="inlineStr">
        <is>
          <t>CTR-01423</t>
        </is>
      </c>
      <c r="B1332" t="n">
        <v>11262.69</v>
      </c>
    </row>
    <row r="1333">
      <c r="A1333" t="inlineStr">
        <is>
          <t>CTR-01424</t>
        </is>
      </c>
      <c r="B1333" t="n">
        <v>2369.57</v>
      </c>
    </row>
    <row r="1334">
      <c r="A1334" t="inlineStr">
        <is>
          <t>CTR-01425</t>
        </is>
      </c>
      <c r="B1334" t="n">
        <v>48076.1</v>
      </c>
    </row>
    <row r="1335">
      <c r="A1335" t="inlineStr">
        <is>
          <t>CTR-01427</t>
        </is>
      </c>
      <c r="B1335" t="n">
        <v>23529.1</v>
      </c>
    </row>
    <row r="1336">
      <c r="A1336" t="inlineStr">
        <is>
          <t>CTR-01428</t>
        </is>
      </c>
      <c r="B1336" t="n">
        <v>8309.629999999999</v>
      </c>
    </row>
    <row r="1337">
      <c r="A1337" t="inlineStr">
        <is>
          <t>CTR-01429</t>
        </is>
      </c>
      <c r="B1337" t="n">
        <v>1237.51</v>
      </c>
    </row>
    <row r="1338">
      <c r="A1338" t="inlineStr">
        <is>
          <t>CTR-01430</t>
        </is>
      </c>
      <c r="B1338" t="n">
        <v>23217.92</v>
      </c>
    </row>
    <row r="1339">
      <c r="A1339" t="inlineStr">
        <is>
          <t>CTR-01431</t>
        </is>
      </c>
      <c r="B1339" t="n">
        <v>63746.96</v>
      </c>
    </row>
    <row r="1340">
      <c r="A1340" t="inlineStr">
        <is>
          <t>CTR-01433</t>
        </is>
      </c>
      <c r="B1340" t="n">
        <v>13700.42</v>
      </c>
    </row>
    <row r="1341">
      <c r="A1341" t="inlineStr">
        <is>
          <t>CTR-01434</t>
        </is>
      </c>
      <c r="B1341" t="n">
        <v>89767.75</v>
      </c>
    </row>
    <row r="1342">
      <c r="A1342" t="inlineStr">
        <is>
          <t>CTR-01435</t>
        </is>
      </c>
      <c r="B1342" t="n">
        <v>2855.35</v>
      </c>
    </row>
    <row r="1343">
      <c r="A1343" t="inlineStr">
        <is>
          <t>CTR-01436</t>
        </is>
      </c>
      <c r="B1343" t="n">
        <v>43278.4</v>
      </c>
    </row>
    <row r="1344">
      <c r="A1344" t="inlineStr">
        <is>
          <t>CTR-01437</t>
        </is>
      </c>
      <c r="B1344" t="n">
        <v>24183.88</v>
      </c>
    </row>
    <row r="1345">
      <c r="A1345" t="inlineStr">
        <is>
          <t>CTR-01438</t>
        </is>
      </c>
      <c r="B1345" t="n">
        <v>1446.06</v>
      </c>
    </row>
    <row r="1346">
      <c r="A1346" t="inlineStr">
        <is>
          <t>CTR-01439</t>
        </is>
      </c>
      <c r="B1346" t="n">
        <v>8528.219999999999</v>
      </c>
    </row>
    <row r="1347">
      <c r="A1347" t="inlineStr">
        <is>
          <t>CTR-01440</t>
        </is>
      </c>
      <c r="B1347" t="n">
        <v>52823.25</v>
      </c>
    </row>
    <row r="1348">
      <c r="A1348" t="inlineStr">
        <is>
          <t>CTR-01441</t>
        </is>
      </c>
      <c r="B1348" t="n">
        <v>35028.66</v>
      </c>
    </row>
    <row r="1349">
      <c r="A1349" t="inlineStr">
        <is>
          <t>CTR-01442</t>
        </is>
      </c>
      <c r="B1349" t="n">
        <v>62683.04</v>
      </c>
    </row>
    <row r="1350">
      <c r="A1350" t="inlineStr">
        <is>
          <t>CTR-01443</t>
        </is>
      </c>
      <c r="B1350" t="n">
        <v>19928.88</v>
      </c>
    </row>
    <row r="1351">
      <c r="A1351" t="inlineStr">
        <is>
          <t>CTR-01447</t>
        </is>
      </c>
      <c r="B1351" t="n">
        <v>69236.16</v>
      </c>
    </row>
    <row r="1352">
      <c r="A1352" t="inlineStr">
        <is>
          <t>CTR-01448</t>
        </is>
      </c>
      <c r="B1352" t="n">
        <v>24554.16</v>
      </c>
    </row>
    <row r="1353">
      <c r="A1353" t="inlineStr">
        <is>
          <t>CTR-01449</t>
        </is>
      </c>
      <c r="B1353" t="n">
        <v>20859.72</v>
      </c>
    </row>
    <row r="1354">
      <c r="A1354" t="inlineStr">
        <is>
          <t>CTR-01450</t>
        </is>
      </c>
      <c r="B1354" t="n">
        <v>35872.59</v>
      </c>
    </row>
    <row r="1355">
      <c r="A1355" t="inlineStr">
        <is>
          <t>CTR-01451</t>
        </is>
      </c>
      <c r="B1355" t="n">
        <v>18143.64</v>
      </c>
    </row>
    <row r="1356">
      <c r="A1356" t="inlineStr">
        <is>
          <t>CTR-01454</t>
        </is>
      </c>
      <c r="B1356" t="n">
        <v>31315.18</v>
      </c>
    </row>
    <row r="1357">
      <c r="A1357" t="inlineStr">
        <is>
          <t>CTR-01455</t>
        </is>
      </c>
      <c r="B1357" t="n">
        <v>13827.12</v>
      </c>
    </row>
    <row r="1358">
      <c r="A1358" t="inlineStr">
        <is>
          <t>CTR-01456</t>
        </is>
      </c>
      <c r="B1358" t="n">
        <v>26712.78</v>
      </c>
    </row>
    <row r="1359">
      <c r="A1359" t="inlineStr">
        <is>
          <t>CTR-01457</t>
        </is>
      </c>
      <c r="B1359" t="n">
        <v>26151.2</v>
      </c>
    </row>
    <row r="1360">
      <c r="A1360" t="inlineStr">
        <is>
          <t>CTR-01458</t>
        </is>
      </c>
      <c r="B1360" t="n">
        <v>10289.86</v>
      </c>
    </row>
    <row r="1361">
      <c r="A1361" t="inlineStr">
        <is>
          <t>CTR-01459</t>
        </is>
      </c>
      <c r="B1361" t="n">
        <v>6457.08</v>
      </c>
    </row>
    <row r="1362">
      <c r="A1362" t="inlineStr">
        <is>
          <t>CTR-01460</t>
        </is>
      </c>
      <c r="B1362" t="n">
        <v>23958.78</v>
      </c>
    </row>
    <row r="1363">
      <c r="A1363" t="inlineStr">
        <is>
          <t>CTR-01461</t>
        </is>
      </c>
      <c r="B1363" t="n">
        <v>16646.49</v>
      </c>
    </row>
    <row r="1364">
      <c r="A1364" t="inlineStr">
        <is>
          <t>CTR-01462</t>
        </is>
      </c>
      <c r="B1364" t="n">
        <v>23329.44</v>
      </c>
    </row>
    <row r="1365">
      <c r="A1365" t="inlineStr">
        <is>
          <t>CTR-01463</t>
        </is>
      </c>
      <c r="B1365" t="n">
        <v>9813.41</v>
      </c>
    </row>
    <row r="1366">
      <c r="A1366" t="inlineStr">
        <is>
          <t>CTR-01464</t>
        </is>
      </c>
      <c r="B1366" t="n">
        <v>34134.24</v>
      </c>
    </row>
    <row r="1367">
      <c r="A1367" t="inlineStr">
        <is>
          <t>CTR-01466</t>
        </is>
      </c>
      <c r="B1367" t="n">
        <v>18180.6</v>
      </c>
    </row>
    <row r="1368">
      <c r="A1368" t="inlineStr">
        <is>
          <t>CTR-01467</t>
        </is>
      </c>
      <c r="B1368" t="n">
        <v>1666.84</v>
      </c>
    </row>
    <row r="1369">
      <c r="A1369" t="inlineStr">
        <is>
          <t>CTR-01468</t>
        </is>
      </c>
      <c r="B1369" t="n">
        <v>75795.05</v>
      </c>
    </row>
    <row r="1370">
      <c r="A1370" t="inlineStr">
        <is>
          <t>CTR-01469</t>
        </is>
      </c>
      <c r="B1370" t="n">
        <v>9786.969999999999</v>
      </c>
    </row>
    <row r="1371">
      <c r="A1371" t="inlineStr">
        <is>
          <t>CTR-01470</t>
        </is>
      </c>
      <c r="B1371" t="n">
        <v>5343.78</v>
      </c>
    </row>
    <row r="1372">
      <c r="A1372" t="inlineStr">
        <is>
          <t>CTR-01471</t>
        </is>
      </c>
      <c r="B1372" t="n">
        <v>28814.52</v>
      </c>
    </row>
    <row r="1373">
      <c r="A1373" t="inlineStr">
        <is>
          <t>CTR-01472</t>
        </is>
      </c>
      <c r="B1373" t="n">
        <v>2108.75</v>
      </c>
    </row>
    <row r="1374">
      <c r="A1374" t="inlineStr">
        <is>
          <t>CTR-01473</t>
        </is>
      </c>
      <c r="B1374" t="n">
        <v>39516.91</v>
      </c>
    </row>
    <row r="1375">
      <c r="A1375" t="inlineStr">
        <is>
          <t>CTR-01474</t>
        </is>
      </c>
      <c r="B1375" t="n">
        <v>20057.73</v>
      </c>
    </row>
    <row r="1376">
      <c r="A1376" t="inlineStr">
        <is>
          <t>CTR-01475</t>
        </is>
      </c>
      <c r="B1376" t="n">
        <v>3411.24</v>
      </c>
    </row>
    <row r="1377">
      <c r="A1377" t="inlineStr">
        <is>
          <t>CTR-01476</t>
        </is>
      </c>
      <c r="B1377" t="n">
        <v>33247.34</v>
      </c>
    </row>
    <row r="1378">
      <c r="A1378" t="inlineStr">
        <is>
          <t>CTR-01477</t>
        </is>
      </c>
      <c r="B1378" t="n">
        <v>83464.92</v>
      </c>
    </row>
    <row r="1379">
      <c r="A1379" t="inlineStr">
        <is>
          <t>CTR-01478</t>
        </is>
      </c>
      <c r="B1379" t="n">
        <v>6688.89</v>
      </c>
    </row>
    <row r="1380">
      <c r="A1380" t="inlineStr">
        <is>
          <t>CTR-01479</t>
        </is>
      </c>
      <c r="B1380" t="n">
        <v>1917.33</v>
      </c>
    </row>
    <row r="1381">
      <c r="A1381" t="inlineStr">
        <is>
          <t>CTR-01480</t>
        </is>
      </c>
      <c r="B1381" t="n">
        <v>2268.74</v>
      </c>
    </row>
    <row r="1382">
      <c r="A1382" t="inlineStr">
        <is>
          <t>CTR-01481</t>
        </is>
      </c>
      <c r="B1382" t="n">
        <v>53276.61</v>
      </c>
    </row>
    <row r="1383">
      <c r="A1383" t="inlineStr">
        <is>
          <t>CTR-01482</t>
        </is>
      </c>
      <c r="B1383" t="n">
        <v>23690.34</v>
      </c>
    </row>
    <row r="1384">
      <c r="A1384" t="inlineStr">
        <is>
          <t>CTR-01483</t>
        </is>
      </c>
      <c r="B1384" t="n">
        <v>7133.36</v>
      </c>
    </row>
    <row r="1385">
      <c r="A1385" t="inlineStr">
        <is>
          <t>CTR-01485</t>
        </is>
      </c>
      <c r="B1385" t="n">
        <v>96136.92999999999</v>
      </c>
    </row>
    <row r="1386">
      <c r="A1386" t="inlineStr">
        <is>
          <t>CTR-01486</t>
        </is>
      </c>
      <c r="B1386" t="n">
        <v>28298.22</v>
      </c>
    </row>
    <row r="1387">
      <c r="A1387" t="inlineStr">
        <is>
          <t>CTR-01487</t>
        </is>
      </c>
      <c r="B1387" t="n">
        <v>73237.31</v>
      </c>
    </row>
    <row r="1388">
      <c r="A1388" t="inlineStr">
        <is>
          <t>CTR-01488</t>
        </is>
      </c>
      <c r="B1388" t="n">
        <v>3390.69</v>
      </c>
    </row>
    <row r="1389">
      <c r="A1389" t="inlineStr">
        <is>
          <t>CTR-01489</t>
        </is>
      </c>
      <c r="B1389" t="n">
        <v>94957.98</v>
      </c>
    </row>
    <row r="1390">
      <c r="A1390" t="inlineStr">
        <is>
          <t>CTR-01490</t>
        </is>
      </c>
      <c r="B1390" t="n">
        <v>48758.64</v>
      </c>
    </row>
    <row r="1391">
      <c r="A1391" t="inlineStr">
        <is>
          <t>CTR-01491</t>
        </is>
      </c>
      <c r="B1391" t="n">
        <v>5196.86</v>
      </c>
    </row>
    <row r="1392">
      <c r="A1392" t="inlineStr">
        <is>
          <t>CTR-01492</t>
        </is>
      </c>
      <c r="B1392" t="n">
        <v>1294.24</v>
      </c>
    </row>
    <row r="1393">
      <c r="A1393" t="inlineStr">
        <is>
          <t>CTR-01493</t>
        </is>
      </c>
      <c r="B1393" t="n">
        <v>52486.31</v>
      </c>
    </row>
    <row r="1394">
      <c r="A1394" t="inlineStr">
        <is>
          <t>CTR-01494</t>
        </is>
      </c>
      <c r="B1394" t="n">
        <v>5106.58</v>
      </c>
    </row>
    <row r="1395">
      <c r="A1395" t="inlineStr">
        <is>
          <t>CTR-01495</t>
        </is>
      </c>
      <c r="B1395" t="n">
        <v>31998.59</v>
      </c>
    </row>
    <row r="1396">
      <c r="A1396" t="inlineStr">
        <is>
          <t>CTR-01496</t>
        </is>
      </c>
      <c r="B1396" t="n">
        <v>2998.37</v>
      </c>
    </row>
    <row r="1397">
      <c r="A1397" t="inlineStr">
        <is>
          <t>CTR-01497</t>
        </is>
      </c>
      <c r="B1397" t="n">
        <v>20536.38</v>
      </c>
    </row>
    <row r="1398">
      <c r="A1398" t="inlineStr">
        <is>
          <t>CTR-01499</t>
        </is>
      </c>
      <c r="B1398" t="n">
        <v>7492.950000000001</v>
      </c>
    </row>
    <row r="1399">
      <c r="A1399" t="inlineStr">
        <is>
          <t>CTR-01500</t>
        </is>
      </c>
      <c r="B1399" t="n">
        <v>11822.86</v>
      </c>
    </row>
    <row r="1400">
      <c r="A1400" t="inlineStr">
        <is>
          <t>CTR-01501</t>
        </is>
      </c>
      <c r="B1400" t="n">
        <v>24575.49</v>
      </c>
    </row>
    <row r="1401">
      <c r="A1401" t="inlineStr">
        <is>
          <t>CTR-01502</t>
        </is>
      </c>
      <c r="B1401" t="n">
        <v>7661.64</v>
      </c>
    </row>
    <row r="1402">
      <c r="A1402" t="inlineStr">
        <is>
          <t>CTR-01503</t>
        </is>
      </c>
      <c r="B1402" t="n">
        <v>1900.68</v>
      </c>
    </row>
    <row r="1403">
      <c r="A1403" t="inlineStr">
        <is>
          <t>CTR-01504</t>
        </is>
      </c>
      <c r="B1403" t="n">
        <v>4490.299999999999</v>
      </c>
    </row>
    <row r="1404">
      <c r="A1404" t="inlineStr">
        <is>
          <t>CTR-01506</t>
        </is>
      </c>
      <c r="B1404" t="n">
        <v>1726.58</v>
      </c>
    </row>
    <row r="1405">
      <c r="A1405" t="inlineStr">
        <is>
          <t>CTR-01507</t>
        </is>
      </c>
      <c r="B1405" t="n">
        <v>78786.02</v>
      </c>
    </row>
    <row r="1406">
      <c r="A1406" t="inlineStr">
        <is>
          <t>CTR-01508</t>
        </is>
      </c>
      <c r="B1406" t="n">
        <v>1397.76</v>
      </c>
    </row>
    <row r="1407">
      <c r="A1407" t="inlineStr">
        <is>
          <t>CTR-01510</t>
        </is>
      </c>
      <c r="B1407" t="n">
        <v>26508.27</v>
      </c>
    </row>
    <row r="1408">
      <c r="A1408" t="inlineStr">
        <is>
          <t>CTR-01511</t>
        </is>
      </c>
      <c r="B1408" t="n">
        <v>8578.67</v>
      </c>
    </row>
    <row r="1409">
      <c r="A1409" t="inlineStr">
        <is>
          <t>CTR-01512</t>
        </is>
      </c>
      <c r="B1409" t="n">
        <v>13756.59</v>
      </c>
    </row>
    <row r="1410">
      <c r="A1410" t="inlineStr">
        <is>
          <t>CTR-01513</t>
        </is>
      </c>
      <c r="B1410" t="n">
        <v>1155.4</v>
      </c>
    </row>
    <row r="1411">
      <c r="A1411" t="inlineStr">
        <is>
          <t>CTR-01514</t>
        </is>
      </c>
      <c r="B1411" t="n">
        <v>23015.22</v>
      </c>
    </row>
    <row r="1412">
      <c r="A1412" t="inlineStr">
        <is>
          <t>CTR-01515</t>
        </is>
      </c>
      <c r="B1412" t="n">
        <v>5899.65</v>
      </c>
    </row>
    <row r="1413">
      <c r="A1413" t="inlineStr">
        <is>
          <t>CTR-01517</t>
        </is>
      </c>
      <c r="B1413" t="n">
        <v>37308</v>
      </c>
    </row>
    <row r="1414">
      <c r="A1414" t="inlineStr">
        <is>
          <t>CTR-01518</t>
        </is>
      </c>
      <c r="B1414" t="n">
        <v>2226.18</v>
      </c>
    </row>
    <row r="1415">
      <c r="A1415" t="inlineStr">
        <is>
          <t>CTR-01519</t>
        </is>
      </c>
      <c r="B1415" t="n">
        <v>59589.6</v>
      </c>
    </row>
    <row r="1416">
      <c r="A1416" t="inlineStr">
        <is>
          <t>CTR-01520</t>
        </is>
      </c>
      <c r="B1416" t="n">
        <v>15601.64</v>
      </c>
    </row>
    <row r="1417">
      <c r="A1417" t="inlineStr">
        <is>
          <t>CTR-01521</t>
        </is>
      </c>
      <c r="B1417" t="n">
        <v>26183.8</v>
      </c>
    </row>
    <row r="1418">
      <c r="A1418" t="inlineStr">
        <is>
          <t>CTR-01522</t>
        </is>
      </c>
      <c r="B1418" t="n">
        <v>16533.24</v>
      </c>
    </row>
    <row r="1419">
      <c r="A1419" t="inlineStr">
        <is>
          <t>CTR-01524</t>
        </is>
      </c>
      <c r="B1419" t="n">
        <v>22300.7</v>
      </c>
    </row>
    <row r="1420">
      <c r="A1420" t="inlineStr">
        <is>
          <t>CTR-01525</t>
        </is>
      </c>
      <c r="B1420" t="n">
        <v>14720.22</v>
      </c>
    </row>
    <row r="1421">
      <c r="A1421" t="inlineStr">
        <is>
          <t>CTR-01526</t>
        </is>
      </c>
      <c r="B1421" t="n">
        <v>15148.58</v>
      </c>
    </row>
    <row r="1422">
      <c r="A1422" t="inlineStr">
        <is>
          <t>CTR-01527</t>
        </is>
      </c>
      <c r="B1422" t="n">
        <v>25932.2</v>
      </c>
    </row>
    <row r="1423">
      <c r="A1423" t="inlineStr">
        <is>
          <t>CTR-01528</t>
        </is>
      </c>
      <c r="B1423" t="n">
        <v>87855.82000000001</v>
      </c>
    </row>
    <row r="1424">
      <c r="A1424" t="inlineStr">
        <is>
          <t>CTR-01529</t>
        </is>
      </c>
      <c r="B1424" t="n">
        <v>3642.88</v>
      </c>
    </row>
    <row r="1425">
      <c r="A1425" t="inlineStr">
        <is>
          <t>CTR-01530</t>
        </is>
      </c>
      <c r="B1425" t="n">
        <v>770.42</v>
      </c>
    </row>
    <row r="1426">
      <c r="A1426" t="inlineStr">
        <is>
          <t>CTR-01532</t>
        </is>
      </c>
      <c r="B1426" t="n">
        <v>18112.74</v>
      </c>
    </row>
    <row r="1427">
      <c r="A1427" t="inlineStr">
        <is>
          <t>CTR-01533</t>
        </is>
      </c>
      <c r="B1427" t="n">
        <v>118995.38</v>
      </c>
    </row>
    <row r="1428">
      <c r="A1428" t="inlineStr">
        <is>
          <t>CTR-01534</t>
        </is>
      </c>
      <c r="B1428" t="n">
        <v>13385.4</v>
      </c>
    </row>
    <row r="1429">
      <c r="A1429" t="inlineStr">
        <is>
          <t>CTR-01535</t>
        </is>
      </c>
      <c r="B1429" t="n">
        <v>2818.48</v>
      </c>
    </row>
    <row r="1430">
      <c r="A1430" t="inlineStr">
        <is>
          <t>CTR-01536</t>
        </is>
      </c>
      <c r="B1430" t="n">
        <v>25261.2</v>
      </c>
    </row>
    <row r="1431">
      <c r="A1431" t="inlineStr">
        <is>
          <t>CTR-01537</t>
        </is>
      </c>
      <c r="B1431" t="n">
        <v>17801.16</v>
      </c>
    </row>
    <row r="1432">
      <c r="A1432" t="inlineStr">
        <is>
          <t>CTR-01538</t>
        </is>
      </c>
      <c r="B1432" t="n">
        <v>10360.32</v>
      </c>
    </row>
    <row r="1433">
      <c r="A1433" t="inlineStr">
        <is>
          <t>CTR-01540</t>
        </is>
      </c>
      <c r="B1433" t="n">
        <v>175246.64</v>
      </c>
    </row>
    <row r="1434">
      <c r="A1434" t="inlineStr">
        <is>
          <t>CTR-01541</t>
        </is>
      </c>
      <c r="B1434" t="n">
        <v>4107.56</v>
      </c>
    </row>
    <row r="1435">
      <c r="A1435" t="inlineStr">
        <is>
          <t>CTR-01542</t>
        </is>
      </c>
      <c r="B1435" t="n">
        <v>5484.27</v>
      </c>
    </row>
    <row r="1436">
      <c r="A1436" t="inlineStr">
        <is>
          <t>CTR-01543</t>
        </is>
      </c>
      <c r="B1436" t="n">
        <v>3444.24</v>
      </c>
    </row>
    <row r="1437">
      <c r="A1437" t="inlineStr">
        <is>
          <t>CTR-01544</t>
        </is>
      </c>
      <c r="B1437" t="n">
        <v>24613.2</v>
      </c>
    </row>
    <row r="1438">
      <c r="A1438" t="inlineStr">
        <is>
          <t>CTR-01545</t>
        </is>
      </c>
      <c r="B1438" t="n">
        <v>5077.23</v>
      </c>
    </row>
    <row r="1439">
      <c r="A1439" t="inlineStr">
        <is>
          <t>CTR-01546</t>
        </is>
      </c>
      <c r="B1439" t="n">
        <v>27729.91</v>
      </c>
    </row>
    <row r="1440">
      <c r="A1440" t="inlineStr">
        <is>
          <t>CTR-01547</t>
        </is>
      </c>
      <c r="B1440" t="n">
        <v>40487.22</v>
      </c>
    </row>
    <row r="1441">
      <c r="A1441" t="inlineStr">
        <is>
          <t>CTR-01548</t>
        </is>
      </c>
      <c r="B1441" t="n">
        <v>21639.21</v>
      </c>
    </row>
    <row r="1442">
      <c r="A1442" t="inlineStr">
        <is>
          <t>CTR-01549</t>
        </is>
      </c>
      <c r="B1442" t="n">
        <v>43315.85</v>
      </c>
    </row>
    <row r="1443">
      <c r="A1443" t="inlineStr">
        <is>
          <t>CTR-01550</t>
        </is>
      </c>
      <c r="B1443" t="n">
        <v>10982.17</v>
      </c>
    </row>
    <row r="1444">
      <c r="A1444" t="inlineStr">
        <is>
          <t>CTR-01551</t>
        </is>
      </c>
      <c r="B1444" t="n">
        <v>2076.44</v>
      </c>
    </row>
    <row r="1445">
      <c r="A1445" t="inlineStr">
        <is>
          <t>CTR-01552</t>
        </is>
      </c>
      <c r="B1445" t="n">
        <v>14064.57</v>
      </c>
    </row>
    <row r="1446">
      <c r="A1446" t="inlineStr">
        <is>
          <t>CTR-01553</t>
        </is>
      </c>
      <c r="B1446" t="n">
        <v>599.3</v>
      </c>
    </row>
    <row r="1447">
      <c r="A1447" t="inlineStr">
        <is>
          <t>CTR-01554</t>
        </is>
      </c>
      <c r="B1447" t="n">
        <v>13891.56</v>
      </c>
    </row>
    <row r="1448">
      <c r="A1448" t="inlineStr">
        <is>
          <t>CTR-01555</t>
        </is>
      </c>
      <c r="B1448" t="n">
        <v>52516</v>
      </c>
    </row>
    <row r="1449">
      <c r="A1449" t="inlineStr">
        <is>
          <t>CTR-01556</t>
        </is>
      </c>
      <c r="B1449" t="n">
        <v>10286.08</v>
      </c>
    </row>
    <row r="1450">
      <c r="A1450" t="inlineStr">
        <is>
          <t>CTR-01557</t>
        </is>
      </c>
      <c r="B1450" t="n">
        <v>7007.28</v>
      </c>
    </row>
    <row r="1451">
      <c r="A1451" t="inlineStr">
        <is>
          <t>CTR-01558</t>
        </is>
      </c>
      <c r="B1451" t="n">
        <v>6451.41</v>
      </c>
    </row>
    <row r="1452">
      <c r="A1452" t="inlineStr">
        <is>
          <t>CTR-01559</t>
        </is>
      </c>
      <c r="B1452" t="n">
        <v>34288.49</v>
      </c>
    </row>
    <row r="1453">
      <c r="A1453" t="inlineStr">
        <is>
          <t>CTR-01560</t>
        </is>
      </c>
      <c r="B1453" t="n">
        <v>33240.53</v>
      </c>
    </row>
    <row r="1454">
      <c r="A1454" t="inlineStr">
        <is>
          <t>CTR-01561</t>
        </is>
      </c>
      <c r="B1454" t="n">
        <v>15138.76</v>
      </c>
    </row>
    <row r="1455">
      <c r="A1455" t="inlineStr">
        <is>
          <t>CTR-01562</t>
        </is>
      </c>
      <c r="B1455" t="n">
        <v>19086.56</v>
      </c>
    </row>
    <row r="1456">
      <c r="A1456" t="inlineStr">
        <is>
          <t>CTR-01563</t>
        </is>
      </c>
      <c r="B1456" t="n">
        <v>6078.88</v>
      </c>
    </row>
    <row r="1457">
      <c r="A1457" t="inlineStr">
        <is>
          <t>CTR-01564</t>
        </is>
      </c>
      <c r="B1457" t="n">
        <v>9130.199999999999</v>
      </c>
    </row>
    <row r="1458">
      <c r="A1458" t="inlineStr">
        <is>
          <t>CTR-01565</t>
        </is>
      </c>
      <c r="B1458" t="n">
        <v>3754.74</v>
      </c>
    </row>
    <row r="1459">
      <c r="A1459" t="inlineStr">
        <is>
          <t>CTR-01566</t>
        </is>
      </c>
      <c r="B1459" t="n">
        <v>16336.13</v>
      </c>
    </row>
    <row r="1460">
      <c r="A1460" t="inlineStr">
        <is>
          <t>CTR-01567</t>
        </is>
      </c>
      <c r="B1460" t="n">
        <v>14150.37</v>
      </c>
    </row>
    <row r="1461">
      <c r="A1461" t="inlineStr">
        <is>
          <t>CTR-01568</t>
        </is>
      </c>
      <c r="B1461" t="n">
        <v>2285.76</v>
      </c>
    </row>
    <row r="1462">
      <c r="A1462" t="inlineStr">
        <is>
          <t>CTR-01569</t>
        </is>
      </c>
      <c r="B1462" t="n">
        <v>72111.2</v>
      </c>
    </row>
    <row r="1463">
      <c r="A1463" t="inlineStr">
        <is>
          <t>CTR-01570</t>
        </is>
      </c>
      <c r="B1463" t="n">
        <v>45087.42</v>
      </c>
    </row>
    <row r="1464">
      <c r="A1464" t="inlineStr">
        <is>
          <t>CTR-01571</t>
        </is>
      </c>
      <c r="B1464" t="n">
        <v>19318.35</v>
      </c>
    </row>
    <row r="1465">
      <c r="A1465" t="inlineStr">
        <is>
          <t>CTR-01572</t>
        </is>
      </c>
      <c r="B1465" t="n">
        <v>63111.6</v>
      </c>
    </row>
    <row r="1466">
      <c r="A1466" t="inlineStr">
        <is>
          <t>CTR-01573</t>
        </is>
      </c>
      <c r="B1466" t="n">
        <v>14544.04</v>
      </c>
    </row>
    <row r="1467">
      <c r="A1467" t="inlineStr">
        <is>
          <t>CTR-01574</t>
        </is>
      </c>
      <c r="B1467" t="n">
        <v>10034.29</v>
      </c>
    </row>
    <row r="1468">
      <c r="A1468" t="inlineStr">
        <is>
          <t>CTR-01575</t>
        </is>
      </c>
      <c r="B1468" t="n">
        <v>3797.42</v>
      </c>
    </row>
    <row r="1469">
      <c r="A1469" t="inlineStr">
        <is>
          <t>CTR-01576</t>
        </is>
      </c>
      <c r="B1469" t="n">
        <v>33312.75</v>
      </c>
    </row>
    <row r="1470">
      <c r="A1470" t="inlineStr">
        <is>
          <t>CTR-01577</t>
        </is>
      </c>
      <c r="B1470" t="n">
        <v>2017.89</v>
      </c>
    </row>
    <row r="1471">
      <c r="A1471" t="inlineStr">
        <is>
          <t>CTR-01578</t>
        </is>
      </c>
      <c r="B1471" t="n">
        <v>100702.65</v>
      </c>
    </row>
    <row r="1472">
      <c r="A1472" t="inlineStr">
        <is>
          <t>CTR-01579</t>
        </is>
      </c>
      <c r="B1472" t="n">
        <v>1022.45</v>
      </c>
    </row>
    <row r="1473">
      <c r="A1473" t="inlineStr">
        <is>
          <t>CTR-01581</t>
        </is>
      </c>
      <c r="B1473" t="n">
        <v>6139.700000000001</v>
      </c>
    </row>
    <row r="1474">
      <c r="A1474" t="inlineStr">
        <is>
          <t>CTR-01582</t>
        </is>
      </c>
      <c r="B1474" t="n">
        <v>6532.200000000001</v>
      </c>
    </row>
    <row r="1475">
      <c r="A1475" t="inlineStr">
        <is>
          <t>CTR-01583</t>
        </is>
      </c>
      <c r="B1475" t="n">
        <v>11692.85</v>
      </c>
    </row>
    <row r="1476">
      <c r="A1476" t="inlineStr">
        <is>
          <t>CTR-01584</t>
        </is>
      </c>
      <c r="B1476" t="n">
        <v>33657.9</v>
      </c>
    </row>
    <row r="1477">
      <c r="A1477" t="inlineStr">
        <is>
          <t>CTR-01585</t>
        </is>
      </c>
      <c r="B1477" t="n">
        <v>12056.4</v>
      </c>
    </row>
    <row r="1478">
      <c r="A1478" t="inlineStr">
        <is>
          <t>CTR-01587</t>
        </is>
      </c>
      <c r="B1478" t="n">
        <v>15356.4</v>
      </c>
    </row>
    <row r="1479">
      <c r="A1479" t="inlineStr">
        <is>
          <t>CTR-01588</t>
        </is>
      </c>
      <c r="B1479" t="n">
        <v>13537.81</v>
      </c>
    </row>
    <row r="1480">
      <c r="A1480" t="inlineStr">
        <is>
          <t>CTR-01589</t>
        </is>
      </c>
      <c r="B1480" t="n">
        <v>24859.51</v>
      </c>
    </row>
    <row r="1481">
      <c r="A1481" t="inlineStr">
        <is>
          <t>CTR-01590</t>
        </is>
      </c>
      <c r="B1481" t="n">
        <v>34306.6</v>
      </c>
    </row>
    <row r="1482">
      <c r="A1482" t="inlineStr">
        <is>
          <t>CTR-01591</t>
        </is>
      </c>
      <c r="B1482" t="n">
        <v>14256.12</v>
      </c>
    </row>
    <row r="1483">
      <c r="A1483" t="inlineStr">
        <is>
          <t>CTR-01592</t>
        </is>
      </c>
      <c r="B1483" t="n">
        <v>35982.67</v>
      </c>
    </row>
    <row r="1484">
      <c r="A1484" t="inlineStr">
        <is>
          <t>CTR-01593</t>
        </is>
      </c>
      <c r="B1484" t="n">
        <v>6490.8</v>
      </c>
    </row>
    <row r="1485">
      <c r="A1485" t="inlineStr">
        <is>
          <t>CTR-01594</t>
        </is>
      </c>
      <c r="B1485" t="n">
        <v>31736.46</v>
      </c>
    </row>
    <row r="1486">
      <c r="A1486" t="inlineStr">
        <is>
          <t>CTR-01595</t>
        </is>
      </c>
      <c r="B1486" t="n">
        <v>25987.39</v>
      </c>
    </row>
    <row r="1487">
      <c r="A1487" t="inlineStr">
        <is>
          <t>CTR-01596</t>
        </is>
      </c>
      <c r="B1487" t="n">
        <v>16565.01</v>
      </c>
    </row>
    <row r="1488">
      <c r="A1488" t="inlineStr">
        <is>
          <t>CTR-01597</t>
        </is>
      </c>
      <c r="B1488" t="n">
        <v>21605.43</v>
      </c>
    </row>
    <row r="1489">
      <c r="A1489" t="inlineStr">
        <is>
          <t>CTR-01598</t>
        </is>
      </c>
      <c r="B1489" t="n">
        <v>22103.51</v>
      </c>
    </row>
    <row r="1490">
      <c r="A1490" t="inlineStr">
        <is>
          <t>CTR-01599</t>
        </is>
      </c>
      <c r="B1490" t="n">
        <v>27368.3</v>
      </c>
    </row>
    <row r="1491">
      <c r="A1491" t="inlineStr">
        <is>
          <t>CTR-01600</t>
        </is>
      </c>
      <c r="B1491" t="n">
        <v>15462.64</v>
      </c>
    </row>
    <row r="1492">
      <c r="A1492" t="inlineStr">
        <is>
          <t>CTR-01601</t>
        </is>
      </c>
      <c r="B1492" t="n">
        <v>6522.9</v>
      </c>
    </row>
    <row r="1493">
      <c r="A1493" t="inlineStr">
        <is>
          <t>CTR-01602</t>
        </is>
      </c>
      <c r="B1493" t="n">
        <v>7886.52</v>
      </c>
    </row>
    <row r="1494">
      <c r="A1494" t="inlineStr">
        <is>
          <t>CTR-01603</t>
        </is>
      </c>
      <c r="B1494" t="n">
        <v>6980.01</v>
      </c>
    </row>
    <row r="1495">
      <c r="A1495" t="inlineStr">
        <is>
          <t>CTR-01604</t>
        </is>
      </c>
      <c r="B1495" t="n">
        <v>6850.32</v>
      </c>
    </row>
    <row r="1496">
      <c r="A1496" t="inlineStr">
        <is>
          <t>CTR-01605</t>
        </is>
      </c>
      <c r="B1496" t="n">
        <v>10239.02</v>
      </c>
    </row>
    <row r="1497">
      <c r="A1497" t="inlineStr">
        <is>
          <t>CTR-01606</t>
        </is>
      </c>
      <c r="B1497" t="n">
        <v>17278.29</v>
      </c>
    </row>
    <row r="1498">
      <c r="A1498" t="inlineStr">
        <is>
          <t>CTR-01607</t>
        </is>
      </c>
      <c r="B1498" t="n">
        <v>4882.32</v>
      </c>
    </row>
    <row r="1499">
      <c r="A1499" t="inlineStr">
        <is>
          <t>CTR-01609</t>
        </is>
      </c>
      <c r="B1499" t="n">
        <v>16303.56</v>
      </c>
    </row>
    <row r="1500">
      <c r="A1500" t="inlineStr">
        <is>
          <t>CTR-01610</t>
        </is>
      </c>
      <c r="B1500" t="n">
        <v>8804.199999999999</v>
      </c>
    </row>
    <row r="1501">
      <c r="A1501" t="inlineStr">
        <is>
          <t>CTR-01611</t>
        </is>
      </c>
      <c r="B1501" t="n">
        <v>40657.85</v>
      </c>
    </row>
    <row r="1502">
      <c r="A1502" t="inlineStr">
        <is>
          <t>CTR-01612</t>
        </is>
      </c>
      <c r="B1502" t="n">
        <v>6415.4</v>
      </c>
    </row>
    <row r="1503">
      <c r="A1503" t="inlineStr">
        <is>
          <t>CTR-01613</t>
        </is>
      </c>
      <c r="B1503" t="n">
        <v>33579.25</v>
      </c>
    </row>
    <row r="1504">
      <c r="A1504" t="inlineStr">
        <is>
          <t>CTR-01614</t>
        </is>
      </c>
      <c r="B1504" t="n">
        <v>27317.94</v>
      </c>
    </row>
    <row r="1505">
      <c r="A1505" t="inlineStr">
        <is>
          <t>CTR-01615</t>
        </is>
      </c>
      <c r="B1505" t="n">
        <v>981.66</v>
      </c>
    </row>
    <row r="1506">
      <c r="A1506" t="inlineStr">
        <is>
          <t>CTR-01616</t>
        </is>
      </c>
      <c r="B1506" t="n">
        <v>7509.48</v>
      </c>
    </row>
    <row r="1507">
      <c r="A1507" t="inlineStr">
        <is>
          <t>CTR-01617</t>
        </is>
      </c>
      <c r="B1507" t="n">
        <v>28843.9</v>
      </c>
    </row>
    <row r="1508">
      <c r="A1508" t="inlineStr">
        <is>
          <t>CTR-01619</t>
        </is>
      </c>
      <c r="B1508" t="n">
        <v>30227.76</v>
      </c>
    </row>
    <row r="1509">
      <c r="A1509" t="inlineStr">
        <is>
          <t>CTR-01620</t>
        </is>
      </c>
      <c r="B1509" t="n">
        <v>78882.60000000001</v>
      </c>
    </row>
    <row r="1510">
      <c r="A1510" t="inlineStr">
        <is>
          <t>CTR-01621</t>
        </is>
      </c>
      <c r="B1510" t="n">
        <v>13892.28</v>
      </c>
    </row>
    <row r="1511">
      <c r="A1511" t="inlineStr">
        <is>
          <t>CTR-01622</t>
        </is>
      </c>
      <c r="B1511" t="n">
        <v>6082.89</v>
      </c>
    </row>
    <row r="1512">
      <c r="A1512" t="inlineStr">
        <is>
          <t>CTR-01623</t>
        </is>
      </c>
      <c r="B1512" t="n">
        <v>11087.2</v>
      </c>
    </row>
    <row r="1513">
      <c r="A1513" t="inlineStr">
        <is>
          <t>CTR-01624</t>
        </is>
      </c>
      <c r="B1513" t="n">
        <v>11322</v>
      </c>
    </row>
    <row r="1514">
      <c r="A1514" t="inlineStr">
        <is>
          <t>CTR-01625</t>
        </is>
      </c>
      <c r="B1514" t="n">
        <v>3602.8</v>
      </c>
    </row>
    <row r="1515">
      <c r="A1515" t="inlineStr">
        <is>
          <t>CTR-01626</t>
        </is>
      </c>
      <c r="B1515" t="n">
        <v>969.92</v>
      </c>
    </row>
    <row r="1516">
      <c r="A1516" t="inlineStr">
        <is>
          <t>CTR-01627</t>
        </is>
      </c>
      <c r="B1516" t="n">
        <v>10176.59</v>
      </c>
    </row>
    <row r="1517">
      <c r="A1517" t="inlineStr">
        <is>
          <t>CTR-01628</t>
        </is>
      </c>
      <c r="B1517" t="n">
        <v>31311.54</v>
      </c>
    </row>
    <row r="1518">
      <c r="A1518" t="inlineStr">
        <is>
          <t>CTR-01629</t>
        </is>
      </c>
      <c r="B1518" t="n">
        <v>29160.09</v>
      </c>
    </row>
    <row r="1519">
      <c r="A1519" t="inlineStr">
        <is>
          <t>CTR-01630</t>
        </is>
      </c>
      <c r="B1519" t="n">
        <v>9615.879999999999</v>
      </c>
    </row>
    <row r="1520">
      <c r="A1520" t="inlineStr">
        <is>
          <t>CTR-01631</t>
        </is>
      </c>
      <c r="B1520" t="n">
        <v>95918.40000000001</v>
      </c>
    </row>
    <row r="1521">
      <c r="A1521" t="inlineStr">
        <is>
          <t>CTR-01632</t>
        </is>
      </c>
      <c r="B1521" t="n">
        <v>2674.8</v>
      </c>
    </row>
    <row r="1522">
      <c r="A1522" t="inlineStr">
        <is>
          <t>CTR-01633</t>
        </is>
      </c>
      <c r="B1522" t="n">
        <v>942.1</v>
      </c>
    </row>
    <row r="1523">
      <c r="A1523" t="inlineStr">
        <is>
          <t>CTR-01634</t>
        </is>
      </c>
      <c r="B1523" t="n">
        <v>40190.4</v>
      </c>
    </row>
    <row r="1524">
      <c r="A1524" t="inlineStr">
        <is>
          <t>CTR-01635</t>
        </is>
      </c>
      <c r="B1524" t="n">
        <v>5580.54</v>
      </c>
    </row>
    <row r="1525">
      <c r="A1525" t="inlineStr">
        <is>
          <t>CTR-01636</t>
        </is>
      </c>
      <c r="B1525" t="n">
        <v>19812.16</v>
      </c>
    </row>
    <row r="1526">
      <c r="A1526" t="inlineStr">
        <is>
          <t>CTR-01637</t>
        </is>
      </c>
      <c r="B1526" t="n">
        <v>28066.97</v>
      </c>
    </row>
    <row r="1527">
      <c r="A1527" t="inlineStr">
        <is>
          <t>CTR-01639</t>
        </is>
      </c>
      <c r="B1527" t="n">
        <v>25928.91</v>
      </c>
    </row>
    <row r="1528">
      <c r="A1528" t="inlineStr">
        <is>
          <t>CTR-01640</t>
        </is>
      </c>
      <c r="B1528" t="n">
        <v>150892.66</v>
      </c>
    </row>
    <row r="1529">
      <c r="A1529" t="inlineStr">
        <is>
          <t>CTR-01641</t>
        </is>
      </c>
      <c r="B1529" t="n">
        <v>29635.5</v>
      </c>
    </row>
    <row r="1530">
      <c r="A1530" t="inlineStr">
        <is>
          <t>CTR-01643</t>
        </is>
      </c>
      <c r="B1530" t="n">
        <v>22884.41</v>
      </c>
    </row>
    <row r="1531">
      <c r="A1531" t="inlineStr">
        <is>
          <t>CTR-01644</t>
        </is>
      </c>
      <c r="B1531" t="n">
        <v>9856.35</v>
      </c>
    </row>
    <row r="1532">
      <c r="A1532" t="inlineStr">
        <is>
          <t>CTR-01645</t>
        </is>
      </c>
      <c r="B1532" t="n">
        <v>1289.1</v>
      </c>
    </row>
    <row r="1533">
      <c r="A1533" t="inlineStr">
        <is>
          <t>CTR-01646</t>
        </is>
      </c>
      <c r="B1533" t="n">
        <v>10466.5</v>
      </c>
    </row>
    <row r="1534">
      <c r="A1534" t="inlineStr">
        <is>
          <t>CTR-01647</t>
        </is>
      </c>
      <c r="B1534" t="n">
        <v>1751.16</v>
      </c>
    </row>
    <row r="1535">
      <c r="A1535" t="inlineStr">
        <is>
          <t>CTR-01648</t>
        </is>
      </c>
      <c r="B1535" t="n">
        <v>31813.32</v>
      </c>
    </row>
    <row r="1536">
      <c r="A1536" t="inlineStr">
        <is>
          <t>CTR-01649</t>
        </is>
      </c>
      <c r="B1536" t="n">
        <v>27688.24</v>
      </c>
    </row>
    <row r="1537">
      <c r="A1537" t="inlineStr">
        <is>
          <t>CTR-01650</t>
        </is>
      </c>
      <c r="B1537" t="n">
        <v>20254.72</v>
      </c>
    </row>
    <row r="1538">
      <c r="A1538" t="inlineStr">
        <is>
          <t>CTR-01651</t>
        </is>
      </c>
      <c r="B1538" t="n">
        <v>16866.72</v>
      </c>
    </row>
    <row r="1539">
      <c r="A1539" t="inlineStr">
        <is>
          <t>CTR-01652</t>
        </is>
      </c>
      <c r="B1539" t="n">
        <v>2689.6</v>
      </c>
    </row>
    <row r="1540">
      <c r="A1540" t="inlineStr">
        <is>
          <t>CTR-01653</t>
        </is>
      </c>
      <c r="B1540" t="n">
        <v>62432.48</v>
      </c>
    </row>
    <row r="1541">
      <c r="A1541" t="inlineStr">
        <is>
          <t>CTR-01654</t>
        </is>
      </c>
      <c r="B1541" t="n">
        <v>20343.73</v>
      </c>
    </row>
    <row r="1542">
      <c r="A1542" t="inlineStr">
        <is>
          <t>CTR-01655</t>
        </is>
      </c>
      <c r="B1542" t="n">
        <v>7316.460000000001</v>
      </c>
    </row>
    <row r="1543">
      <c r="A1543" t="inlineStr">
        <is>
          <t>CTR-01657</t>
        </is>
      </c>
      <c r="B1543" t="n">
        <v>35317.44</v>
      </c>
    </row>
    <row r="1544">
      <c r="A1544" t="inlineStr">
        <is>
          <t>CTR-01658</t>
        </is>
      </c>
      <c r="B1544" t="n">
        <v>35253.25</v>
      </c>
    </row>
    <row r="1545">
      <c r="A1545" t="inlineStr">
        <is>
          <t>CTR-01659</t>
        </is>
      </c>
      <c r="B1545" t="n">
        <v>13596.94</v>
      </c>
    </row>
    <row r="1546">
      <c r="A1546" t="inlineStr">
        <is>
          <t>CTR-01660</t>
        </is>
      </c>
      <c r="B1546" t="n">
        <v>14779.54</v>
      </c>
    </row>
    <row r="1547">
      <c r="A1547" t="inlineStr">
        <is>
          <t>CTR-01661</t>
        </is>
      </c>
      <c r="B1547" t="n">
        <v>26924.63</v>
      </c>
    </row>
    <row r="1548">
      <c r="A1548" t="inlineStr">
        <is>
          <t>CTR-01662</t>
        </is>
      </c>
      <c r="B1548" t="n">
        <v>1390.29</v>
      </c>
    </row>
    <row r="1549">
      <c r="A1549" t="inlineStr">
        <is>
          <t>CTR-01663</t>
        </is>
      </c>
      <c r="B1549" t="n">
        <v>6962.54</v>
      </c>
    </row>
    <row r="1550">
      <c r="A1550" t="inlineStr">
        <is>
          <t>CTR-01666</t>
        </is>
      </c>
      <c r="B1550" t="n">
        <v>9581.440000000001</v>
      </c>
    </row>
    <row r="1551">
      <c r="A1551" t="inlineStr">
        <is>
          <t>CTR-01667</t>
        </is>
      </c>
      <c r="B1551" t="n">
        <v>80449.24000000001</v>
      </c>
    </row>
    <row r="1552">
      <c r="A1552" t="inlineStr">
        <is>
          <t>CTR-01668</t>
        </is>
      </c>
      <c r="B1552" t="n">
        <v>45423.76</v>
      </c>
    </row>
    <row r="1553">
      <c r="A1553" t="inlineStr">
        <is>
          <t>CTR-01669</t>
        </is>
      </c>
      <c r="B1553" t="n">
        <v>12859.2</v>
      </c>
    </row>
    <row r="1554">
      <c r="A1554" t="inlineStr">
        <is>
          <t>CTR-01670</t>
        </is>
      </c>
      <c r="B1554" t="n">
        <v>106994.65</v>
      </c>
    </row>
    <row r="1555">
      <c r="A1555" t="inlineStr">
        <is>
          <t>CTR-01671</t>
        </is>
      </c>
      <c r="B1555" t="n">
        <v>21774.62</v>
      </c>
    </row>
    <row r="1556">
      <c r="A1556" t="inlineStr">
        <is>
          <t>CTR-01672</t>
        </is>
      </c>
      <c r="B1556" t="n">
        <v>49290.75</v>
      </c>
    </row>
    <row r="1557">
      <c r="A1557" t="inlineStr">
        <is>
          <t>CTR-01673</t>
        </is>
      </c>
      <c r="B1557" t="n">
        <v>3201.9</v>
      </c>
    </row>
    <row r="1558">
      <c r="A1558" t="inlineStr">
        <is>
          <t>CTR-01674</t>
        </is>
      </c>
      <c r="B1558" t="n">
        <v>4450.55</v>
      </c>
    </row>
    <row r="1559">
      <c r="A1559" t="inlineStr">
        <is>
          <t>CTR-01675</t>
        </is>
      </c>
      <c r="B1559" t="n">
        <v>40081.86</v>
      </c>
    </row>
    <row r="1560">
      <c r="A1560" t="inlineStr">
        <is>
          <t>CTR-01676</t>
        </is>
      </c>
      <c r="B1560" t="n">
        <v>2181.7</v>
      </c>
    </row>
    <row r="1561">
      <c r="A1561" t="inlineStr">
        <is>
          <t>CTR-01677</t>
        </is>
      </c>
      <c r="B1561" t="n">
        <v>46197.36</v>
      </c>
    </row>
    <row r="1562">
      <c r="A1562" t="inlineStr">
        <is>
          <t>CTR-01678</t>
        </is>
      </c>
      <c r="B1562" t="n">
        <v>14926.62</v>
      </c>
    </row>
    <row r="1563">
      <c r="A1563" t="inlineStr">
        <is>
          <t>CTR-01679</t>
        </is>
      </c>
      <c r="B1563" t="n">
        <v>3304.16</v>
      </c>
    </row>
    <row r="1564">
      <c r="A1564" t="inlineStr">
        <is>
          <t>CTR-01680</t>
        </is>
      </c>
      <c r="B1564" t="n">
        <v>5354.83</v>
      </c>
    </row>
    <row r="1565">
      <c r="A1565" t="inlineStr">
        <is>
          <t>CTR-01681</t>
        </is>
      </c>
      <c r="B1565" t="n">
        <v>54003.6</v>
      </c>
    </row>
    <row r="1566">
      <c r="A1566" t="inlineStr">
        <is>
          <t>CTR-01682</t>
        </is>
      </c>
      <c r="B1566" t="n">
        <v>91486.25</v>
      </c>
    </row>
    <row r="1567">
      <c r="A1567" t="inlineStr">
        <is>
          <t>CTR-01683</t>
        </is>
      </c>
      <c r="B1567" t="n">
        <v>51311.4</v>
      </c>
    </row>
    <row r="1568">
      <c r="A1568" t="inlineStr">
        <is>
          <t>CTR-01684</t>
        </is>
      </c>
      <c r="B1568" t="n">
        <v>18352.95</v>
      </c>
    </row>
    <row r="1569">
      <c r="A1569" t="inlineStr">
        <is>
          <t>CTR-01685</t>
        </is>
      </c>
      <c r="B1569" t="n">
        <v>4858.26</v>
      </c>
    </row>
    <row r="1570">
      <c r="A1570" t="inlineStr">
        <is>
          <t>CTR-01686</t>
        </is>
      </c>
      <c r="B1570" t="n">
        <v>41766.52</v>
      </c>
    </row>
    <row r="1571">
      <c r="A1571" t="inlineStr">
        <is>
          <t>CTR-01687</t>
        </is>
      </c>
      <c r="B1571" t="n">
        <v>20311.02</v>
      </c>
    </row>
    <row r="1572">
      <c r="A1572" t="inlineStr">
        <is>
          <t>CTR-01688</t>
        </is>
      </c>
      <c r="B1572" t="n">
        <v>67922.72</v>
      </c>
    </row>
    <row r="1573">
      <c r="A1573" t="inlineStr">
        <is>
          <t>CTR-01689</t>
        </is>
      </c>
      <c r="B1573" t="n">
        <v>7676.7</v>
      </c>
    </row>
    <row r="1574">
      <c r="A1574" t="inlineStr">
        <is>
          <t>CTR-01690</t>
        </is>
      </c>
      <c r="B1574" t="n">
        <v>17764.05</v>
      </c>
    </row>
    <row r="1575">
      <c r="A1575" t="inlineStr">
        <is>
          <t>CTR-01691</t>
        </is>
      </c>
      <c r="B1575" t="n">
        <v>14312.01</v>
      </c>
    </row>
    <row r="1576">
      <c r="A1576" t="inlineStr">
        <is>
          <t>CTR-01692</t>
        </is>
      </c>
      <c r="B1576" t="n">
        <v>8869.139999999999</v>
      </c>
    </row>
    <row r="1577">
      <c r="A1577" t="inlineStr">
        <is>
          <t>CTR-01693</t>
        </is>
      </c>
      <c r="B1577" t="n">
        <v>42428.56</v>
      </c>
    </row>
    <row r="1578">
      <c r="A1578" t="inlineStr">
        <is>
          <t>CTR-01694</t>
        </is>
      </c>
      <c r="B1578" t="n">
        <v>4340.44</v>
      </c>
    </row>
    <row r="1579">
      <c r="A1579" t="inlineStr">
        <is>
          <t>CTR-01695</t>
        </is>
      </c>
      <c r="B1579" t="n">
        <v>43452.81</v>
      </c>
    </row>
    <row r="1580">
      <c r="A1580" t="inlineStr">
        <is>
          <t>CTR-01696</t>
        </is>
      </c>
      <c r="B1580" t="n">
        <v>137186.12</v>
      </c>
    </row>
    <row r="1581">
      <c r="A1581" t="inlineStr">
        <is>
          <t>CTR-01697</t>
        </is>
      </c>
      <c r="B1581" t="n">
        <v>6283.200000000001</v>
      </c>
    </row>
    <row r="1582">
      <c r="A1582" t="inlineStr">
        <is>
          <t>CTR-01698</t>
        </is>
      </c>
      <c r="B1582" t="n">
        <v>8732.09</v>
      </c>
    </row>
    <row r="1583">
      <c r="A1583" t="inlineStr">
        <is>
          <t>CTR-01699</t>
        </is>
      </c>
      <c r="B1583" t="n">
        <v>13086.36</v>
      </c>
    </row>
    <row r="1584">
      <c r="A1584" t="inlineStr">
        <is>
          <t>CTR-01700</t>
        </is>
      </c>
      <c r="B1584" t="n">
        <v>13160.79</v>
      </c>
    </row>
    <row r="1585">
      <c r="A1585" t="inlineStr">
        <is>
          <t>CTR-01701</t>
        </is>
      </c>
      <c r="B1585" t="n">
        <v>13836.29</v>
      </c>
    </row>
    <row r="1586">
      <c r="A1586" t="inlineStr">
        <is>
          <t>CTR-01702</t>
        </is>
      </c>
      <c r="B1586" t="n">
        <v>42555.24</v>
      </c>
    </row>
    <row r="1587">
      <c r="A1587" t="inlineStr">
        <is>
          <t>CTR-01703</t>
        </is>
      </c>
      <c r="B1587" t="n">
        <v>11432.52</v>
      </c>
    </row>
    <row r="1588">
      <c r="A1588" t="inlineStr">
        <is>
          <t>CTR-01704</t>
        </is>
      </c>
      <c r="B1588" t="n">
        <v>11045.12</v>
      </c>
    </row>
    <row r="1589">
      <c r="A1589" t="inlineStr">
        <is>
          <t>CTR-01705</t>
        </is>
      </c>
      <c r="B1589" t="n">
        <v>7277.7</v>
      </c>
    </row>
    <row r="1590">
      <c r="A1590" t="inlineStr">
        <is>
          <t>CTR-01706</t>
        </is>
      </c>
      <c r="B1590" t="n">
        <v>48069.18000000001</v>
      </c>
    </row>
    <row r="1591">
      <c r="A1591" t="inlineStr">
        <is>
          <t>CTR-01707</t>
        </is>
      </c>
      <c r="B1591" t="n">
        <v>13413.29</v>
      </c>
    </row>
    <row r="1592">
      <c r="A1592" t="inlineStr">
        <is>
          <t>CTR-01708</t>
        </is>
      </c>
      <c r="B1592" t="n">
        <v>4738.25</v>
      </c>
    </row>
    <row r="1593">
      <c r="A1593" t="inlineStr">
        <is>
          <t>CTR-01709</t>
        </is>
      </c>
      <c r="B1593" t="n">
        <v>12973.7</v>
      </c>
    </row>
    <row r="1594">
      <c r="A1594" t="inlineStr">
        <is>
          <t>CTR-01710</t>
        </is>
      </c>
      <c r="B1594" t="n">
        <v>17341.6</v>
      </c>
    </row>
    <row r="1595">
      <c r="A1595" t="inlineStr">
        <is>
          <t>CTR-01711</t>
        </is>
      </c>
      <c r="B1595" t="n">
        <v>26649.22</v>
      </c>
    </row>
    <row r="1596">
      <c r="A1596" t="inlineStr">
        <is>
          <t>CTR-01712</t>
        </is>
      </c>
      <c r="B1596" t="n">
        <v>125224.38</v>
      </c>
    </row>
    <row r="1597">
      <c r="A1597" t="inlineStr">
        <is>
          <t>CTR-01713</t>
        </is>
      </c>
      <c r="B1597" t="n">
        <v>39681.39</v>
      </c>
    </row>
    <row r="1598">
      <c r="A1598" t="inlineStr">
        <is>
          <t>CTR-01714</t>
        </is>
      </c>
      <c r="B1598" t="n">
        <v>49752.88</v>
      </c>
    </row>
    <row r="1599">
      <c r="A1599" t="inlineStr">
        <is>
          <t>CTR-01715</t>
        </is>
      </c>
      <c r="B1599" t="n">
        <v>67099.03999999999</v>
      </c>
    </row>
    <row r="1600">
      <c r="A1600" t="inlineStr">
        <is>
          <t>CTR-01716</t>
        </is>
      </c>
      <c r="B1600" t="n">
        <v>31818.54</v>
      </c>
    </row>
    <row r="1601">
      <c r="A1601" t="inlineStr">
        <is>
          <t>CTR-01717</t>
        </is>
      </c>
      <c r="B1601" t="n">
        <v>7017.51</v>
      </c>
    </row>
    <row r="1602">
      <c r="A1602" t="inlineStr">
        <is>
          <t>CTR-01718</t>
        </is>
      </c>
      <c r="B1602" t="n">
        <v>6848.16</v>
      </c>
    </row>
    <row r="1603">
      <c r="A1603" t="inlineStr">
        <is>
          <t>CTR-01719</t>
        </is>
      </c>
      <c r="B1603" t="n">
        <v>15365.92</v>
      </c>
    </row>
    <row r="1604">
      <c r="A1604" t="inlineStr">
        <is>
          <t>CTR-01720</t>
        </is>
      </c>
      <c r="B1604" t="n">
        <v>2329.26</v>
      </c>
    </row>
    <row r="1605">
      <c r="A1605" t="inlineStr">
        <is>
          <t>CTR-01721</t>
        </is>
      </c>
      <c r="B1605" t="n">
        <v>285.25</v>
      </c>
    </row>
    <row r="1606">
      <c r="A1606" t="inlineStr">
        <is>
          <t>CTR-01722</t>
        </is>
      </c>
      <c r="B1606" t="n">
        <v>100966.8</v>
      </c>
    </row>
    <row r="1607">
      <c r="A1607" t="inlineStr">
        <is>
          <t>CTR-01724</t>
        </is>
      </c>
      <c r="B1607" t="n">
        <v>17804.8</v>
      </c>
    </row>
    <row r="1608">
      <c r="A1608" t="inlineStr">
        <is>
          <t>CTR-01725</t>
        </is>
      </c>
      <c r="B1608" t="n">
        <v>61212.34</v>
      </c>
    </row>
    <row r="1609">
      <c r="A1609" t="inlineStr">
        <is>
          <t>CTR-01726</t>
        </is>
      </c>
      <c r="B1609" t="n">
        <v>1955.24</v>
      </c>
    </row>
    <row r="1610">
      <c r="A1610" t="inlineStr">
        <is>
          <t>CTR-01727</t>
        </is>
      </c>
      <c r="B1610" t="n">
        <v>14700.79</v>
      </c>
    </row>
    <row r="1611">
      <c r="A1611" t="inlineStr">
        <is>
          <t>CTR-01728</t>
        </is>
      </c>
      <c r="B1611" t="n">
        <v>12610.08</v>
      </c>
    </row>
    <row r="1612">
      <c r="A1612" t="inlineStr">
        <is>
          <t>CTR-01729</t>
        </is>
      </c>
      <c r="B1612" t="n">
        <v>9756.6</v>
      </c>
    </row>
    <row r="1613">
      <c r="A1613" t="inlineStr">
        <is>
          <t>CTR-01730</t>
        </is>
      </c>
      <c r="B1613" t="n">
        <v>58473.88</v>
      </c>
    </row>
    <row r="1614">
      <c r="A1614" t="inlineStr">
        <is>
          <t>CTR-01731</t>
        </is>
      </c>
      <c r="B1614" t="n">
        <v>22459.2</v>
      </c>
    </row>
    <row r="1615">
      <c r="A1615" t="inlineStr">
        <is>
          <t>CTR-01732</t>
        </is>
      </c>
      <c r="B1615" t="n">
        <v>14260.01</v>
      </c>
    </row>
    <row r="1616">
      <c r="A1616" t="inlineStr">
        <is>
          <t>CTR-01733</t>
        </is>
      </c>
      <c r="B1616" t="n">
        <v>49623.7</v>
      </c>
    </row>
    <row r="1617">
      <c r="A1617" t="inlineStr">
        <is>
          <t>CTR-01734</t>
        </is>
      </c>
      <c r="B1617" t="n">
        <v>13485.3</v>
      </c>
    </row>
    <row r="1618">
      <c r="A1618" t="inlineStr">
        <is>
          <t>CTR-01736</t>
        </is>
      </c>
      <c r="B1618" t="n">
        <v>22336.02</v>
      </c>
    </row>
    <row r="1619">
      <c r="A1619" t="inlineStr">
        <is>
          <t>CTR-01737</t>
        </is>
      </c>
      <c r="B1619" t="n">
        <v>3664.92</v>
      </c>
    </row>
    <row r="1620">
      <c r="A1620" t="inlineStr">
        <is>
          <t>CTR-01738</t>
        </is>
      </c>
      <c r="B1620" t="n">
        <v>10815.84</v>
      </c>
    </row>
    <row r="1621">
      <c r="A1621" t="inlineStr">
        <is>
          <t>CTR-01739</t>
        </is>
      </c>
      <c r="B1621" t="n">
        <v>31510.78</v>
      </c>
    </row>
    <row r="1622">
      <c r="A1622" t="inlineStr">
        <is>
          <t>CTR-01740</t>
        </is>
      </c>
      <c r="B1622" t="n">
        <v>15924.74</v>
      </c>
    </row>
    <row r="1623">
      <c r="A1623" t="inlineStr">
        <is>
          <t>CTR-01741</t>
        </is>
      </c>
      <c r="B1623" t="n">
        <v>11282.06</v>
      </c>
    </row>
    <row r="1624">
      <c r="A1624" t="inlineStr">
        <is>
          <t>CTR-01742</t>
        </is>
      </c>
      <c r="B1624" t="n">
        <v>33637.86</v>
      </c>
    </row>
    <row r="1625">
      <c r="A1625" t="inlineStr">
        <is>
          <t>CTR-01743</t>
        </is>
      </c>
      <c r="B1625" t="n">
        <v>7891.61</v>
      </c>
    </row>
    <row r="1626">
      <c r="A1626" t="inlineStr">
        <is>
          <t>CTR-01744</t>
        </is>
      </c>
      <c r="B1626" t="n">
        <v>24176.16</v>
      </c>
    </row>
    <row r="1627">
      <c r="A1627" t="inlineStr">
        <is>
          <t>CTR-01745</t>
        </is>
      </c>
      <c r="B1627" t="n">
        <v>2724.98</v>
      </c>
    </row>
    <row r="1628">
      <c r="A1628" t="inlineStr">
        <is>
          <t>CTR-01746</t>
        </is>
      </c>
      <c r="B1628" t="n">
        <v>8233.51</v>
      </c>
    </row>
    <row r="1629">
      <c r="A1629" t="inlineStr">
        <is>
          <t>CTR-01747</t>
        </is>
      </c>
      <c r="B1629" t="n">
        <v>17213.6</v>
      </c>
    </row>
    <row r="1630">
      <c r="A1630" t="inlineStr">
        <is>
          <t>CTR-01748</t>
        </is>
      </c>
      <c r="B1630" t="n">
        <v>2000.85</v>
      </c>
    </row>
    <row r="1631">
      <c r="A1631" t="inlineStr">
        <is>
          <t>CTR-01749</t>
        </is>
      </c>
      <c r="B1631" t="n">
        <v>16887.92</v>
      </c>
    </row>
    <row r="1632">
      <c r="A1632" t="inlineStr">
        <is>
          <t>CTR-01750</t>
        </is>
      </c>
      <c r="B1632" t="n">
        <v>14698</v>
      </c>
    </row>
    <row r="1633">
      <c r="A1633" t="inlineStr">
        <is>
          <t>CTR-01751</t>
        </is>
      </c>
      <c r="B1633" t="n">
        <v>6960.960000000001</v>
      </c>
    </row>
    <row r="1634">
      <c r="A1634" t="inlineStr">
        <is>
          <t>CTR-01752</t>
        </is>
      </c>
      <c r="B1634" t="n">
        <v>7641.92</v>
      </c>
    </row>
    <row r="1635">
      <c r="A1635" t="inlineStr">
        <is>
          <t>CTR-01753</t>
        </is>
      </c>
      <c r="B1635" t="n">
        <v>483.04</v>
      </c>
    </row>
    <row r="1636">
      <c r="A1636" t="inlineStr">
        <is>
          <t>CTR-01754</t>
        </is>
      </c>
      <c r="B1636" t="n">
        <v>12908.4</v>
      </c>
    </row>
    <row r="1637">
      <c r="A1637" t="inlineStr">
        <is>
          <t>CTR-01755</t>
        </is>
      </c>
      <c r="B1637" t="n">
        <v>2855.27</v>
      </c>
    </row>
    <row r="1638">
      <c r="A1638" t="inlineStr">
        <is>
          <t>CTR-01756</t>
        </is>
      </c>
      <c r="B1638" t="n">
        <v>22776.48</v>
      </c>
    </row>
    <row r="1639">
      <c r="A1639" t="inlineStr">
        <is>
          <t>CTR-01757</t>
        </is>
      </c>
      <c r="B1639" t="n">
        <v>13209.3</v>
      </c>
    </row>
    <row r="1640">
      <c r="A1640" t="inlineStr">
        <is>
          <t>CTR-01758</t>
        </is>
      </c>
      <c r="B1640" t="n">
        <v>9715.200000000001</v>
      </c>
    </row>
    <row r="1641">
      <c r="A1641" t="inlineStr">
        <is>
          <t>CTR-01759</t>
        </is>
      </c>
      <c r="B1641" t="n">
        <v>21501.1</v>
      </c>
    </row>
    <row r="1642">
      <c r="A1642" t="inlineStr">
        <is>
          <t>CTR-01760</t>
        </is>
      </c>
      <c r="B1642" t="n">
        <v>5165.88</v>
      </c>
    </row>
    <row r="1643">
      <c r="A1643" t="inlineStr">
        <is>
          <t>CTR-01761</t>
        </is>
      </c>
      <c r="B1643" t="n">
        <v>18413.44</v>
      </c>
    </row>
    <row r="1644">
      <c r="A1644" t="inlineStr">
        <is>
          <t>CTR-01762</t>
        </is>
      </c>
      <c r="B1644" t="n">
        <v>11335.26</v>
      </c>
    </row>
    <row r="1645">
      <c r="A1645" t="inlineStr">
        <is>
          <t>CTR-01763</t>
        </is>
      </c>
      <c r="B1645" t="n">
        <v>27446.64</v>
      </c>
    </row>
    <row r="1646">
      <c r="A1646" t="inlineStr">
        <is>
          <t>CTR-01764</t>
        </is>
      </c>
      <c r="B1646" t="n">
        <v>59199.2</v>
      </c>
    </row>
    <row r="1647">
      <c r="A1647" t="inlineStr">
        <is>
          <t>CTR-01765</t>
        </is>
      </c>
      <c r="B1647" t="n">
        <v>8025.68</v>
      </c>
    </row>
    <row r="1648">
      <c r="A1648" t="inlineStr">
        <is>
          <t>CTR-01766</t>
        </is>
      </c>
      <c r="B1648" t="n">
        <v>25503.27</v>
      </c>
    </row>
    <row r="1649">
      <c r="A1649" t="inlineStr">
        <is>
          <t>CTR-01767</t>
        </is>
      </c>
      <c r="B1649" t="n">
        <v>49280.16</v>
      </c>
    </row>
    <row r="1650">
      <c r="A1650" t="inlineStr">
        <is>
          <t>CTR-01768</t>
        </is>
      </c>
      <c r="B1650" t="n">
        <v>25288.35</v>
      </c>
    </row>
    <row r="1651">
      <c r="A1651" t="inlineStr">
        <is>
          <t>CTR-01769</t>
        </is>
      </c>
      <c r="B1651" t="n">
        <v>63864.3</v>
      </c>
    </row>
    <row r="1652">
      <c r="A1652" t="inlineStr">
        <is>
          <t>CTR-01770</t>
        </is>
      </c>
      <c r="B1652" t="n">
        <v>15403.3</v>
      </c>
    </row>
    <row r="1653">
      <c r="A1653" t="inlineStr">
        <is>
          <t>CTR-01773</t>
        </is>
      </c>
      <c r="B1653" t="n">
        <v>49056.22</v>
      </c>
    </row>
    <row r="1654">
      <c r="A1654" t="inlineStr">
        <is>
          <t>CTR-01774</t>
        </is>
      </c>
      <c r="B1654" t="n">
        <v>2283.84</v>
      </c>
    </row>
    <row r="1655">
      <c r="A1655" t="inlineStr">
        <is>
          <t>CTR-01775</t>
        </is>
      </c>
      <c r="B1655" t="n">
        <v>27814.59</v>
      </c>
    </row>
    <row r="1656">
      <c r="A1656" t="inlineStr">
        <is>
          <t>CTR-01776</t>
        </is>
      </c>
      <c r="B1656" t="n">
        <v>32173.98</v>
      </c>
    </row>
    <row r="1657">
      <c r="A1657" t="inlineStr">
        <is>
          <t>CTR-01777</t>
        </is>
      </c>
      <c r="B1657" t="n">
        <v>18337.49</v>
      </c>
    </row>
    <row r="1658">
      <c r="A1658" t="inlineStr">
        <is>
          <t>CTR-01778</t>
        </is>
      </c>
      <c r="B1658" t="n">
        <v>36893.8</v>
      </c>
    </row>
    <row r="1659">
      <c r="A1659" t="inlineStr">
        <is>
          <t>CTR-01780</t>
        </is>
      </c>
      <c r="B1659" t="n">
        <v>12047.37</v>
      </c>
    </row>
    <row r="1660">
      <c r="A1660" t="inlineStr">
        <is>
          <t>CTR-01782</t>
        </is>
      </c>
      <c r="B1660" t="n">
        <v>14636.7</v>
      </c>
    </row>
    <row r="1661">
      <c r="A1661" t="inlineStr">
        <is>
          <t>CTR-01783</t>
        </is>
      </c>
      <c r="B1661" t="n">
        <v>22612.81</v>
      </c>
    </row>
    <row r="1662">
      <c r="A1662" t="inlineStr">
        <is>
          <t>CTR-01784</t>
        </is>
      </c>
      <c r="B1662" t="n">
        <v>14450.4</v>
      </c>
    </row>
    <row r="1663">
      <c r="A1663" t="inlineStr">
        <is>
          <t>CTR-01785</t>
        </is>
      </c>
      <c r="B1663" t="n">
        <v>47717.59</v>
      </c>
    </row>
    <row r="1664">
      <c r="A1664" t="inlineStr">
        <is>
          <t>CTR-01786</t>
        </is>
      </c>
      <c r="B1664" t="n">
        <v>12400.77</v>
      </c>
    </row>
    <row r="1665">
      <c r="A1665" t="inlineStr">
        <is>
          <t>CTR-01787</t>
        </is>
      </c>
      <c r="B1665" t="n">
        <v>51672.97</v>
      </c>
    </row>
    <row r="1666">
      <c r="A1666" t="inlineStr">
        <is>
          <t>CTR-01788</t>
        </is>
      </c>
      <c r="B1666" t="n">
        <v>44171.36</v>
      </c>
    </row>
    <row r="1667">
      <c r="A1667" t="inlineStr">
        <is>
          <t>CTR-01789</t>
        </is>
      </c>
      <c r="B1667" t="n">
        <v>11465.4</v>
      </c>
    </row>
    <row r="1668">
      <c r="A1668" t="inlineStr">
        <is>
          <t>CTR-01790</t>
        </is>
      </c>
      <c r="B1668" t="n">
        <v>10453.07</v>
      </c>
    </row>
    <row r="1669">
      <c r="A1669" t="inlineStr">
        <is>
          <t>CTR-01791</t>
        </is>
      </c>
      <c r="B1669" t="n">
        <v>81965.34</v>
      </c>
    </row>
    <row r="1670">
      <c r="A1670" t="inlineStr">
        <is>
          <t>CTR-01793</t>
        </is>
      </c>
      <c r="B1670" t="n">
        <v>11636.8</v>
      </c>
    </row>
    <row r="1671">
      <c r="A1671" t="inlineStr">
        <is>
          <t>CTR-01794</t>
        </is>
      </c>
      <c r="B1671" t="n">
        <v>40858.71</v>
      </c>
    </row>
    <row r="1672">
      <c r="A1672" t="inlineStr">
        <is>
          <t>CTR-01795</t>
        </is>
      </c>
      <c r="B1672" t="n">
        <v>17256.01</v>
      </c>
    </row>
    <row r="1673">
      <c r="A1673" t="inlineStr">
        <is>
          <t>CTR-01796</t>
        </is>
      </c>
      <c r="B1673" t="n">
        <v>4580.1</v>
      </c>
    </row>
    <row r="1674">
      <c r="A1674" t="inlineStr">
        <is>
          <t>CTR-01797</t>
        </is>
      </c>
      <c r="B1674" t="n">
        <v>12883.22</v>
      </c>
    </row>
    <row r="1675">
      <c r="A1675" t="inlineStr">
        <is>
          <t>CTR-01798</t>
        </is>
      </c>
      <c r="B1675" t="n">
        <v>15155.8</v>
      </c>
    </row>
    <row r="1676">
      <c r="A1676" t="inlineStr">
        <is>
          <t>CTR-01799</t>
        </is>
      </c>
      <c r="B1676" t="n">
        <v>10386.72</v>
      </c>
    </row>
    <row r="1677">
      <c r="A1677" t="inlineStr">
        <is>
          <t>CTR-01800</t>
        </is>
      </c>
      <c r="B1677" t="n">
        <v>35933.17</v>
      </c>
    </row>
    <row r="1678">
      <c r="A1678" t="inlineStr">
        <is>
          <t>CTR-01801</t>
        </is>
      </c>
      <c r="B1678" t="n">
        <v>36761.95</v>
      </c>
    </row>
    <row r="1679">
      <c r="A1679" t="inlineStr">
        <is>
          <t>CTR-01802</t>
        </is>
      </c>
      <c r="B1679" t="n">
        <v>55001.52</v>
      </c>
    </row>
    <row r="1680">
      <c r="A1680" t="inlineStr">
        <is>
          <t>CTR-01803</t>
        </is>
      </c>
      <c r="B1680" t="n">
        <v>20530.9</v>
      </c>
    </row>
    <row r="1681">
      <c r="A1681" t="inlineStr">
        <is>
          <t>CTR-01804</t>
        </is>
      </c>
      <c r="B1681" t="n">
        <v>23545.86</v>
      </c>
    </row>
    <row r="1682">
      <c r="A1682" t="inlineStr">
        <is>
          <t>CTR-01805</t>
        </is>
      </c>
      <c r="B1682" t="n">
        <v>46851.96</v>
      </c>
    </row>
    <row r="1683">
      <c r="A1683" t="inlineStr">
        <is>
          <t>CTR-01807</t>
        </is>
      </c>
      <c r="B1683" t="n">
        <v>1994.75</v>
      </c>
    </row>
    <row r="1684">
      <c r="A1684" t="inlineStr">
        <is>
          <t>CTR-01808</t>
        </is>
      </c>
      <c r="B1684" t="n">
        <v>8768.470000000001</v>
      </c>
    </row>
    <row r="1685">
      <c r="A1685" t="inlineStr">
        <is>
          <t>CTR-01810</t>
        </is>
      </c>
      <c r="B1685" t="n">
        <v>8276.220000000001</v>
      </c>
    </row>
    <row r="1686">
      <c r="A1686" t="inlineStr">
        <is>
          <t>CTR-01811</t>
        </is>
      </c>
      <c r="B1686" t="n">
        <v>119365.22</v>
      </c>
    </row>
    <row r="1687">
      <c r="A1687" t="inlineStr">
        <is>
          <t>CTR-01812</t>
        </is>
      </c>
      <c r="B1687" t="n">
        <v>3514.32</v>
      </c>
    </row>
    <row r="1688">
      <c r="A1688" t="inlineStr">
        <is>
          <t>CTR-01813</t>
        </is>
      </c>
      <c r="B1688" t="n">
        <v>10853.6</v>
      </c>
    </row>
    <row r="1689">
      <c r="A1689" t="inlineStr">
        <is>
          <t>CTR-01814</t>
        </is>
      </c>
      <c r="B1689" t="n">
        <v>1683.31</v>
      </c>
    </row>
    <row r="1690">
      <c r="A1690" t="inlineStr">
        <is>
          <t>CTR-01815</t>
        </is>
      </c>
      <c r="B1690" t="n">
        <v>1047.89</v>
      </c>
    </row>
    <row r="1691">
      <c r="A1691" t="inlineStr">
        <is>
          <t>CTR-01816</t>
        </is>
      </c>
      <c r="B1691" t="n">
        <v>38992.33</v>
      </c>
    </row>
    <row r="1692">
      <c r="A1692" t="inlineStr">
        <is>
          <t>CTR-01817</t>
        </is>
      </c>
      <c r="B1692" t="n">
        <v>37295.64</v>
      </c>
    </row>
    <row r="1693">
      <c r="A1693" t="inlineStr">
        <is>
          <t>CTR-01818</t>
        </is>
      </c>
      <c r="B1693" t="n">
        <v>12618.2</v>
      </c>
    </row>
    <row r="1694">
      <c r="A1694" t="inlineStr">
        <is>
          <t>CTR-01819</t>
        </is>
      </c>
      <c r="B1694" t="n">
        <v>24100.72</v>
      </c>
    </row>
    <row r="1695">
      <c r="A1695" t="inlineStr">
        <is>
          <t>CTR-01820</t>
        </is>
      </c>
      <c r="B1695" t="n">
        <v>37356.25</v>
      </c>
    </row>
    <row r="1696">
      <c r="A1696" t="inlineStr">
        <is>
          <t>CTR-01821</t>
        </is>
      </c>
      <c r="B1696" t="n">
        <v>2374.86</v>
      </c>
    </row>
    <row r="1697">
      <c r="A1697" t="inlineStr">
        <is>
          <t>CTR-01822</t>
        </is>
      </c>
      <c r="B1697" t="n">
        <v>12247.2</v>
      </c>
    </row>
    <row r="1698">
      <c r="A1698" t="inlineStr">
        <is>
          <t>CTR-01823</t>
        </is>
      </c>
      <c r="B1698" t="n">
        <v>11023.98</v>
      </c>
    </row>
    <row r="1699">
      <c r="A1699" t="inlineStr">
        <is>
          <t>CTR-01824</t>
        </is>
      </c>
      <c r="B1699" t="n">
        <v>15915.8</v>
      </c>
    </row>
    <row r="1700">
      <c r="A1700" t="inlineStr">
        <is>
          <t>CTR-01825</t>
        </is>
      </c>
      <c r="B1700" t="n">
        <v>6734.72</v>
      </c>
    </row>
    <row r="1701">
      <c r="A1701" t="inlineStr">
        <is>
          <t>CTR-01826</t>
        </is>
      </c>
      <c r="B1701" t="n">
        <v>50621.4</v>
      </c>
    </row>
    <row r="1702">
      <c r="A1702" t="inlineStr">
        <is>
          <t>CTR-01827</t>
        </is>
      </c>
      <c r="B1702" t="n">
        <v>701.26</v>
      </c>
    </row>
    <row r="1703">
      <c r="A1703" t="inlineStr">
        <is>
          <t>CTR-01828</t>
        </is>
      </c>
      <c r="B1703" t="n">
        <v>2605.89</v>
      </c>
    </row>
    <row r="1704">
      <c r="A1704" t="inlineStr">
        <is>
          <t>CTR-01829</t>
        </is>
      </c>
      <c r="B1704" t="n">
        <v>11348.32</v>
      </c>
    </row>
    <row r="1705">
      <c r="A1705" t="inlineStr">
        <is>
          <t>CTR-01830</t>
        </is>
      </c>
      <c r="B1705" t="n">
        <v>5968.559999999999</v>
      </c>
    </row>
    <row r="1706">
      <c r="A1706" t="inlineStr">
        <is>
          <t>CTR-01831</t>
        </is>
      </c>
      <c r="B1706" t="n">
        <v>25349.45</v>
      </c>
    </row>
    <row r="1707">
      <c r="A1707" t="inlineStr">
        <is>
          <t>CTR-01832</t>
        </is>
      </c>
      <c r="B1707" t="n">
        <v>7449.32</v>
      </c>
    </row>
    <row r="1708">
      <c r="A1708" t="inlineStr">
        <is>
          <t>CTR-01833</t>
        </is>
      </c>
      <c r="B1708" t="n">
        <v>8988.150000000001</v>
      </c>
    </row>
    <row r="1709">
      <c r="A1709" t="inlineStr">
        <is>
          <t>CTR-01834</t>
        </is>
      </c>
      <c r="B1709" t="n">
        <v>11418.17</v>
      </c>
    </row>
    <row r="1710">
      <c r="A1710" t="inlineStr">
        <is>
          <t>CTR-01835</t>
        </is>
      </c>
      <c r="B1710" t="n">
        <v>7061.4</v>
      </c>
    </row>
    <row r="1711">
      <c r="A1711" t="inlineStr">
        <is>
          <t>CTR-01836</t>
        </is>
      </c>
      <c r="B1711" t="n">
        <v>31480.38</v>
      </c>
    </row>
    <row r="1712">
      <c r="A1712" t="inlineStr">
        <is>
          <t>CTR-01837</t>
        </is>
      </c>
      <c r="B1712" t="n">
        <v>11280.96</v>
      </c>
    </row>
    <row r="1713">
      <c r="A1713" t="inlineStr">
        <is>
          <t>CTR-01838</t>
        </is>
      </c>
      <c r="B1713" t="n">
        <v>44063.82999999999</v>
      </c>
    </row>
    <row r="1714">
      <c r="A1714" t="inlineStr">
        <is>
          <t>CTR-01839</t>
        </is>
      </c>
      <c r="B1714" t="n">
        <v>2316.24</v>
      </c>
    </row>
    <row r="1715">
      <c r="A1715" t="inlineStr">
        <is>
          <t>CTR-01840</t>
        </is>
      </c>
      <c r="B1715" t="n">
        <v>4545.85</v>
      </c>
    </row>
    <row r="1716">
      <c r="A1716" t="inlineStr">
        <is>
          <t>CTR-01841</t>
        </is>
      </c>
      <c r="B1716" t="n">
        <v>46097.44</v>
      </c>
    </row>
    <row r="1717">
      <c r="A1717" t="inlineStr">
        <is>
          <t>CTR-01842</t>
        </is>
      </c>
      <c r="B1717" t="n">
        <v>9320.290000000001</v>
      </c>
    </row>
    <row r="1718">
      <c r="A1718" t="inlineStr">
        <is>
          <t>CTR-01843</t>
        </is>
      </c>
      <c r="B1718" t="n">
        <v>11860.79</v>
      </c>
    </row>
    <row r="1719">
      <c r="A1719" t="inlineStr">
        <is>
          <t>CTR-01844</t>
        </is>
      </c>
      <c r="B1719" t="n">
        <v>10925.46</v>
      </c>
    </row>
    <row r="1720">
      <c r="A1720" t="inlineStr">
        <is>
          <t>CTR-01845</t>
        </is>
      </c>
      <c r="B1720" t="n">
        <v>22800.22</v>
      </c>
    </row>
    <row r="1721">
      <c r="A1721" t="inlineStr">
        <is>
          <t>CTR-01846</t>
        </is>
      </c>
      <c r="B1721" t="n">
        <v>8090.46</v>
      </c>
    </row>
    <row r="1722">
      <c r="A1722" t="inlineStr">
        <is>
          <t>CTR-01847</t>
        </is>
      </c>
      <c r="B1722" t="n">
        <v>19833.66</v>
      </c>
    </row>
    <row r="1723">
      <c r="A1723" t="inlineStr">
        <is>
          <t>CTR-01848</t>
        </is>
      </c>
      <c r="B1723" t="n">
        <v>23815.08</v>
      </c>
    </row>
    <row r="1724">
      <c r="A1724" t="inlineStr">
        <is>
          <t>CTR-01849</t>
        </is>
      </c>
      <c r="B1724" t="n">
        <v>7831.73</v>
      </c>
    </row>
    <row r="1725">
      <c r="A1725" t="inlineStr">
        <is>
          <t>CTR-01850</t>
        </is>
      </c>
      <c r="B1725" t="n">
        <v>55644.27</v>
      </c>
    </row>
    <row r="1726">
      <c r="A1726" t="inlineStr">
        <is>
          <t>CTR-01851</t>
        </is>
      </c>
      <c r="B1726" t="n">
        <v>18766.67</v>
      </c>
    </row>
    <row r="1727">
      <c r="A1727" t="inlineStr">
        <is>
          <t>CTR-01852</t>
        </is>
      </c>
      <c r="B1727" t="n">
        <v>32224.4</v>
      </c>
    </row>
    <row r="1728">
      <c r="A1728" t="inlineStr">
        <is>
          <t>CTR-01853</t>
        </is>
      </c>
      <c r="B1728" t="n">
        <v>38427.52</v>
      </c>
    </row>
    <row r="1729">
      <c r="A1729" t="inlineStr">
        <is>
          <t>CTR-01854</t>
        </is>
      </c>
      <c r="B1729" t="n">
        <v>68891.14999999999</v>
      </c>
    </row>
    <row r="1730">
      <c r="A1730" t="inlineStr">
        <is>
          <t>CTR-01855</t>
        </is>
      </c>
      <c r="B1730" t="n">
        <v>25176.42</v>
      </c>
    </row>
    <row r="1731">
      <c r="A1731" t="inlineStr">
        <is>
          <t>CTR-01856</t>
        </is>
      </c>
      <c r="B1731" t="n">
        <v>7452.6</v>
      </c>
    </row>
    <row r="1732">
      <c r="A1732" t="inlineStr">
        <is>
          <t>CTR-01857</t>
        </is>
      </c>
      <c r="B1732" t="n">
        <v>18877.48</v>
      </c>
    </row>
    <row r="1733">
      <c r="A1733" t="inlineStr">
        <is>
          <t>CTR-01858</t>
        </is>
      </c>
      <c r="B1733" t="n">
        <v>13409.11</v>
      </c>
    </row>
    <row r="1734">
      <c r="A1734" t="inlineStr">
        <is>
          <t>CTR-01859</t>
        </is>
      </c>
      <c r="B1734" t="n">
        <v>15685.18</v>
      </c>
    </row>
    <row r="1735">
      <c r="A1735" t="inlineStr">
        <is>
          <t>CTR-01860</t>
        </is>
      </c>
      <c r="B1735" t="n">
        <v>28747.14</v>
      </c>
    </row>
    <row r="1736">
      <c r="A1736" t="inlineStr">
        <is>
          <t>CTR-01861</t>
        </is>
      </c>
      <c r="B1736" t="n">
        <v>12990.6</v>
      </c>
    </row>
    <row r="1737">
      <c r="A1737" t="inlineStr">
        <is>
          <t>CTR-01862</t>
        </is>
      </c>
      <c r="B1737" t="n">
        <v>34505.14</v>
      </c>
    </row>
    <row r="1738">
      <c r="A1738" t="inlineStr">
        <is>
          <t>CTR-01863</t>
        </is>
      </c>
      <c r="B1738" t="n">
        <v>11031.7</v>
      </c>
    </row>
    <row r="1739">
      <c r="A1739" t="inlineStr">
        <is>
          <t>CTR-01864</t>
        </is>
      </c>
      <c r="B1739" t="n">
        <v>20459.25</v>
      </c>
    </row>
    <row r="1740">
      <c r="A1740" t="inlineStr">
        <is>
          <t>CTR-01865</t>
        </is>
      </c>
      <c r="B1740" t="n">
        <v>11712.33</v>
      </c>
    </row>
    <row r="1741">
      <c r="A1741" t="inlineStr">
        <is>
          <t>CTR-01866</t>
        </is>
      </c>
      <c r="B1741" t="n">
        <v>101519.41</v>
      </c>
    </row>
    <row r="1742">
      <c r="A1742" t="inlineStr">
        <is>
          <t>CTR-01867</t>
        </is>
      </c>
      <c r="B1742" t="n">
        <v>52966.29</v>
      </c>
    </row>
    <row r="1743">
      <c r="A1743" t="inlineStr">
        <is>
          <t>CTR-01868</t>
        </is>
      </c>
      <c r="B1743" t="n">
        <v>1541.6</v>
      </c>
    </row>
    <row r="1744">
      <c r="A1744" t="inlineStr">
        <is>
          <t>CTR-01869</t>
        </is>
      </c>
      <c r="B1744" t="n">
        <v>6804.490000000001</v>
      </c>
    </row>
    <row r="1745">
      <c r="A1745" t="inlineStr">
        <is>
          <t>CTR-01870</t>
        </is>
      </c>
      <c r="B1745" t="n">
        <v>51097.28</v>
      </c>
    </row>
    <row r="1746">
      <c r="A1746" t="inlineStr">
        <is>
          <t>CTR-01871</t>
        </is>
      </c>
      <c r="B1746" t="n">
        <v>61309.42999999999</v>
      </c>
    </row>
    <row r="1747">
      <c r="A1747" t="inlineStr">
        <is>
          <t>CTR-01872</t>
        </is>
      </c>
      <c r="B1747" t="n">
        <v>100008.8</v>
      </c>
    </row>
    <row r="1748">
      <c r="A1748" t="inlineStr">
        <is>
          <t>CTR-01873</t>
        </is>
      </c>
      <c r="B1748" t="n">
        <v>9124.060000000001</v>
      </c>
    </row>
    <row r="1749">
      <c r="A1749" t="inlineStr">
        <is>
          <t>CTR-01874</t>
        </is>
      </c>
      <c r="B1749" t="n">
        <v>7471.62</v>
      </c>
    </row>
    <row r="1750">
      <c r="A1750" t="inlineStr">
        <is>
          <t>CTR-01875</t>
        </is>
      </c>
      <c r="B1750" t="n">
        <v>23119.36</v>
      </c>
    </row>
    <row r="1751">
      <c r="A1751" t="inlineStr">
        <is>
          <t>CTR-01876</t>
        </is>
      </c>
      <c r="B1751" t="n">
        <v>15125.94</v>
      </c>
    </row>
    <row r="1752">
      <c r="A1752" t="inlineStr">
        <is>
          <t>CTR-01877</t>
        </is>
      </c>
      <c r="B1752" t="n">
        <v>78342.41</v>
      </c>
    </row>
    <row r="1753">
      <c r="A1753" t="inlineStr">
        <is>
          <t>CTR-01878</t>
        </is>
      </c>
      <c r="B1753" t="n">
        <v>1999.75</v>
      </c>
    </row>
    <row r="1754">
      <c r="A1754" t="inlineStr">
        <is>
          <t>CTR-01879</t>
        </is>
      </c>
      <c r="B1754" t="n">
        <v>33946.78</v>
      </c>
    </row>
    <row r="1755">
      <c r="A1755" t="inlineStr">
        <is>
          <t>CTR-01880</t>
        </is>
      </c>
      <c r="B1755" t="n">
        <v>53251.38</v>
      </c>
    </row>
    <row r="1756">
      <c r="A1756" t="inlineStr">
        <is>
          <t>CTR-01881</t>
        </is>
      </c>
      <c r="B1756" t="n">
        <v>8514.35</v>
      </c>
    </row>
    <row r="1757">
      <c r="A1757" t="inlineStr">
        <is>
          <t>CTR-01882</t>
        </is>
      </c>
      <c r="B1757" t="n">
        <v>15211.5</v>
      </c>
    </row>
    <row r="1758">
      <c r="A1758" t="inlineStr">
        <is>
          <t>CTR-01883</t>
        </is>
      </c>
      <c r="B1758" t="n">
        <v>16219.65</v>
      </c>
    </row>
    <row r="1759">
      <c r="A1759" t="inlineStr">
        <is>
          <t>CTR-01884</t>
        </is>
      </c>
      <c r="B1759" t="n">
        <v>16016.3</v>
      </c>
    </row>
    <row r="1760">
      <c r="A1760" t="inlineStr">
        <is>
          <t>CTR-01885</t>
        </is>
      </c>
      <c r="B1760" t="n">
        <v>29491.61</v>
      </c>
    </row>
    <row r="1761">
      <c r="A1761" t="inlineStr">
        <is>
          <t>CTR-01886</t>
        </is>
      </c>
      <c r="B1761" t="n">
        <v>13764.96</v>
      </c>
    </row>
    <row r="1762">
      <c r="A1762" t="inlineStr">
        <is>
          <t>CTR-01887</t>
        </is>
      </c>
      <c r="B1762" t="n">
        <v>19027.13</v>
      </c>
    </row>
    <row r="1763">
      <c r="A1763" t="inlineStr">
        <is>
          <t>CTR-01888</t>
        </is>
      </c>
      <c r="B1763" t="n">
        <v>2486.94</v>
      </c>
    </row>
    <row r="1764">
      <c r="A1764" t="inlineStr">
        <is>
          <t>CTR-01889</t>
        </is>
      </c>
      <c r="B1764" t="n">
        <v>7414.72</v>
      </c>
    </row>
    <row r="1765">
      <c r="A1765" t="inlineStr">
        <is>
          <t>CTR-01890</t>
        </is>
      </c>
      <c r="B1765" t="n">
        <v>87216.07999999999</v>
      </c>
    </row>
    <row r="1766">
      <c r="A1766" t="inlineStr">
        <is>
          <t>CTR-01891</t>
        </is>
      </c>
      <c r="B1766" t="n">
        <v>67815.77</v>
      </c>
    </row>
    <row r="1767">
      <c r="A1767" t="inlineStr">
        <is>
          <t>CTR-01892</t>
        </is>
      </c>
      <c r="B1767" t="n">
        <v>40477.81</v>
      </c>
    </row>
    <row r="1768">
      <c r="A1768" t="inlineStr">
        <is>
          <t>CTR-01893</t>
        </is>
      </c>
      <c r="B1768" t="n">
        <v>1434.61</v>
      </c>
    </row>
    <row r="1769">
      <c r="A1769" t="inlineStr">
        <is>
          <t>CTR-01894</t>
        </is>
      </c>
      <c r="B1769" t="n">
        <v>34578.32</v>
      </c>
    </row>
    <row r="1770">
      <c r="A1770" t="inlineStr">
        <is>
          <t>CTR-01895</t>
        </is>
      </c>
      <c r="B1770" t="n">
        <v>3047.2</v>
      </c>
    </row>
    <row r="1771">
      <c r="A1771" t="inlineStr">
        <is>
          <t>CTR-01896</t>
        </is>
      </c>
      <c r="B1771" t="n">
        <v>49289.27</v>
      </c>
    </row>
    <row r="1772">
      <c r="A1772" t="inlineStr">
        <is>
          <t>CTR-01897</t>
        </is>
      </c>
      <c r="B1772" t="n">
        <v>44035.74</v>
      </c>
    </row>
    <row r="1773">
      <c r="A1773" t="inlineStr">
        <is>
          <t>CTR-01898</t>
        </is>
      </c>
      <c r="B1773" t="n">
        <v>37857.54</v>
      </c>
    </row>
    <row r="1774">
      <c r="A1774" t="inlineStr">
        <is>
          <t>CTR-01899</t>
        </is>
      </c>
      <c r="B1774" t="n">
        <v>14857.76</v>
      </c>
    </row>
    <row r="1775">
      <c r="A1775" t="inlineStr">
        <is>
          <t>CTR-01900</t>
        </is>
      </c>
      <c r="B1775" t="n">
        <v>44110.24</v>
      </c>
    </row>
    <row r="1776">
      <c r="A1776" t="inlineStr">
        <is>
          <t>CTR-01901</t>
        </is>
      </c>
      <c r="B1776" t="n">
        <v>3410.4</v>
      </c>
    </row>
    <row r="1777">
      <c r="A1777" t="inlineStr">
        <is>
          <t>CTR-01902</t>
        </is>
      </c>
      <c r="B1777" t="n">
        <v>87268.3</v>
      </c>
    </row>
    <row r="1778">
      <c r="A1778" t="inlineStr">
        <is>
          <t>CTR-01903</t>
        </is>
      </c>
      <c r="B1778" t="n">
        <v>2933.76</v>
      </c>
    </row>
    <row r="1779">
      <c r="A1779" t="inlineStr">
        <is>
          <t>CTR-01904</t>
        </is>
      </c>
      <c r="B1779" t="n">
        <v>15935.7</v>
      </c>
    </row>
    <row r="1780">
      <c r="A1780" t="inlineStr">
        <is>
          <t>CTR-01905</t>
        </is>
      </c>
      <c r="B1780" t="n">
        <v>41826.8</v>
      </c>
    </row>
    <row r="1781">
      <c r="A1781" t="inlineStr">
        <is>
          <t>CTR-01906</t>
        </is>
      </c>
      <c r="B1781" t="n">
        <v>3333.6</v>
      </c>
    </row>
    <row r="1782">
      <c r="A1782" t="inlineStr">
        <is>
          <t>CTR-01908</t>
        </is>
      </c>
      <c r="B1782" t="n">
        <v>49281.32</v>
      </c>
    </row>
    <row r="1783">
      <c r="A1783" t="inlineStr">
        <is>
          <t>CTR-01909</t>
        </is>
      </c>
      <c r="B1783" t="n">
        <v>2070.44</v>
      </c>
    </row>
    <row r="1784">
      <c r="A1784" t="inlineStr">
        <is>
          <t>CTR-01910</t>
        </is>
      </c>
      <c r="B1784" t="n">
        <v>4720.96</v>
      </c>
    </row>
    <row r="1785">
      <c r="A1785" t="inlineStr">
        <is>
          <t>CTR-01911</t>
        </is>
      </c>
      <c r="B1785" t="n">
        <v>12909.52</v>
      </c>
    </row>
    <row r="1786">
      <c r="A1786" t="inlineStr">
        <is>
          <t>CTR-01912</t>
        </is>
      </c>
      <c r="B1786" t="n">
        <v>87745.23</v>
      </c>
    </row>
    <row r="1787">
      <c r="A1787" t="inlineStr">
        <is>
          <t>CTR-01913</t>
        </is>
      </c>
      <c r="B1787" t="n">
        <v>2172.98</v>
      </c>
    </row>
    <row r="1788">
      <c r="A1788" t="inlineStr">
        <is>
          <t>CTR-01914</t>
        </is>
      </c>
      <c r="B1788" t="n">
        <v>142010.1</v>
      </c>
    </row>
    <row r="1789">
      <c r="A1789" t="inlineStr">
        <is>
          <t>CTR-01915</t>
        </is>
      </c>
      <c r="B1789" t="n">
        <v>9089.469999999999</v>
      </c>
    </row>
    <row r="1790">
      <c r="A1790" t="inlineStr">
        <is>
          <t>CTR-01916</t>
        </is>
      </c>
      <c r="B1790" t="n">
        <v>7953.44</v>
      </c>
    </row>
    <row r="1791">
      <c r="A1791" t="inlineStr">
        <is>
          <t>CTR-01917</t>
        </is>
      </c>
      <c r="B1791" t="n">
        <v>115468.05</v>
      </c>
    </row>
    <row r="1792">
      <c r="A1792" t="inlineStr">
        <is>
          <t>CTR-01918</t>
        </is>
      </c>
      <c r="B1792" t="n">
        <v>22063.04</v>
      </c>
    </row>
    <row r="1793">
      <c r="A1793" t="inlineStr">
        <is>
          <t>CTR-01919</t>
        </is>
      </c>
      <c r="B1793" t="n">
        <v>27573.42</v>
      </c>
    </row>
    <row r="1794">
      <c r="A1794" t="inlineStr">
        <is>
          <t>CTR-01921</t>
        </is>
      </c>
      <c r="B1794" t="n">
        <v>17214.76</v>
      </c>
    </row>
    <row r="1795">
      <c r="A1795" t="inlineStr">
        <is>
          <t>CTR-01922</t>
        </is>
      </c>
      <c r="B1795" t="n">
        <v>5832.96</v>
      </c>
    </row>
    <row r="1796">
      <c r="A1796" t="inlineStr">
        <is>
          <t>CTR-01923</t>
        </is>
      </c>
      <c r="B1796" t="n">
        <v>8377.98</v>
      </c>
    </row>
    <row r="1797">
      <c r="A1797" t="inlineStr">
        <is>
          <t>CTR-01924</t>
        </is>
      </c>
      <c r="B1797" t="n">
        <v>49900.39999999999</v>
      </c>
    </row>
    <row r="1798">
      <c r="A1798" t="inlineStr">
        <is>
          <t>CTR-01925</t>
        </is>
      </c>
      <c r="B1798" t="n">
        <v>5662.08</v>
      </c>
    </row>
    <row r="1799">
      <c r="A1799" t="inlineStr">
        <is>
          <t>CTR-01927</t>
        </is>
      </c>
      <c r="B1799" t="n">
        <v>12171.72</v>
      </c>
    </row>
    <row r="1800">
      <c r="A1800" t="inlineStr">
        <is>
          <t>CTR-01928</t>
        </is>
      </c>
      <c r="B1800" t="n">
        <v>53079.95</v>
      </c>
    </row>
    <row r="1801">
      <c r="A1801" t="inlineStr">
        <is>
          <t>CTR-01929</t>
        </is>
      </c>
      <c r="B1801" t="n">
        <v>9051.279999999999</v>
      </c>
    </row>
    <row r="1802">
      <c r="A1802" t="inlineStr">
        <is>
          <t>CTR-01930</t>
        </is>
      </c>
      <c r="B1802" t="n">
        <v>34715.07</v>
      </c>
    </row>
    <row r="1803">
      <c r="A1803" t="inlineStr">
        <is>
          <t>CTR-01932</t>
        </is>
      </c>
      <c r="B1803" t="n">
        <v>4304.190000000001</v>
      </c>
    </row>
    <row r="1804">
      <c r="A1804" t="inlineStr">
        <is>
          <t>CTR-01933</t>
        </is>
      </c>
      <c r="B1804" t="n">
        <v>3400.62</v>
      </c>
    </row>
    <row r="1805">
      <c r="A1805" t="inlineStr">
        <is>
          <t>CTR-01934</t>
        </is>
      </c>
      <c r="B1805" t="n">
        <v>15700.29</v>
      </c>
    </row>
    <row r="1806">
      <c r="A1806" t="inlineStr">
        <is>
          <t>CTR-01935</t>
        </is>
      </c>
      <c r="B1806" t="n">
        <v>6596.03</v>
      </c>
    </row>
    <row r="1807">
      <c r="A1807" t="inlineStr">
        <is>
          <t>CTR-01936</t>
        </is>
      </c>
      <c r="B1807" t="n">
        <v>32728.56</v>
      </c>
    </row>
    <row r="1808">
      <c r="A1808" t="inlineStr">
        <is>
          <t>CTR-01937</t>
        </is>
      </c>
      <c r="B1808" t="n">
        <v>18528</v>
      </c>
    </row>
    <row r="1809">
      <c r="A1809" t="inlineStr">
        <is>
          <t>CTR-01938</t>
        </is>
      </c>
      <c r="B1809" t="n">
        <v>22730.54</v>
      </c>
    </row>
    <row r="1810">
      <c r="A1810" t="inlineStr">
        <is>
          <t>CTR-01939</t>
        </is>
      </c>
      <c r="B1810" t="n">
        <v>11055.85</v>
      </c>
    </row>
    <row r="1811">
      <c r="A1811" t="inlineStr">
        <is>
          <t>CTR-01940</t>
        </is>
      </c>
      <c r="B1811" t="n">
        <v>1890.14</v>
      </c>
    </row>
    <row r="1812">
      <c r="A1812" t="inlineStr">
        <is>
          <t>CTR-01941</t>
        </is>
      </c>
      <c r="B1812" t="n">
        <v>8188.56</v>
      </c>
    </row>
    <row r="1813">
      <c r="A1813" t="inlineStr">
        <is>
          <t>CTR-01942</t>
        </is>
      </c>
      <c r="B1813" t="n">
        <v>19733.52</v>
      </c>
    </row>
    <row r="1814">
      <c r="A1814" t="inlineStr">
        <is>
          <t>CTR-01943</t>
        </is>
      </c>
      <c r="B1814" t="n">
        <v>5265.4</v>
      </c>
    </row>
    <row r="1815">
      <c r="A1815" t="inlineStr">
        <is>
          <t>CTR-01944</t>
        </is>
      </c>
      <c r="B1815" t="n">
        <v>9253.6</v>
      </c>
    </row>
    <row r="1816">
      <c r="A1816" t="inlineStr">
        <is>
          <t>CTR-01945</t>
        </is>
      </c>
      <c r="B1816" t="n">
        <v>56825.59</v>
      </c>
    </row>
    <row r="1817">
      <c r="A1817" t="inlineStr">
        <is>
          <t>CTR-01947</t>
        </is>
      </c>
      <c r="B1817" t="n">
        <v>1514.38</v>
      </c>
    </row>
    <row r="1818">
      <c r="A1818" t="inlineStr">
        <is>
          <t>CTR-01948</t>
        </is>
      </c>
      <c r="B1818" t="n">
        <v>18205.99</v>
      </c>
    </row>
    <row r="1819">
      <c r="A1819" t="inlineStr">
        <is>
          <t>CTR-01950</t>
        </is>
      </c>
      <c r="B1819" t="n">
        <v>9180.780000000001</v>
      </c>
    </row>
    <row r="1820">
      <c r="A1820" t="inlineStr">
        <is>
          <t>CTR-01951</t>
        </is>
      </c>
      <c r="B1820" t="n">
        <v>32228.82</v>
      </c>
    </row>
    <row r="1821">
      <c r="A1821" t="inlineStr">
        <is>
          <t>CTR-01952</t>
        </is>
      </c>
      <c r="B1821" t="n">
        <v>17560.92</v>
      </c>
    </row>
    <row r="1822">
      <c r="A1822" t="inlineStr">
        <is>
          <t>CTR-01953</t>
        </is>
      </c>
      <c r="B1822" t="n">
        <v>21021.55</v>
      </c>
    </row>
    <row r="1823">
      <c r="A1823" t="inlineStr">
        <is>
          <t>CTR-01954</t>
        </is>
      </c>
      <c r="B1823" t="n">
        <v>5179.52</v>
      </c>
    </row>
    <row r="1824">
      <c r="A1824" t="inlineStr">
        <is>
          <t>CTR-01955</t>
        </is>
      </c>
      <c r="B1824" t="n">
        <v>4979.3</v>
      </c>
    </row>
    <row r="1825">
      <c r="A1825" t="inlineStr">
        <is>
          <t>CTR-01956</t>
        </is>
      </c>
      <c r="B1825" t="n">
        <v>36765.00999999999</v>
      </c>
    </row>
    <row r="1826">
      <c r="A1826" t="inlineStr">
        <is>
          <t>CTR-01957</t>
        </is>
      </c>
      <c r="B1826" t="n">
        <v>4011.12</v>
      </c>
    </row>
    <row r="1827">
      <c r="A1827" t="inlineStr">
        <is>
          <t>CTR-01958</t>
        </is>
      </c>
      <c r="B1827" t="n">
        <v>177.42</v>
      </c>
    </row>
    <row r="1828">
      <c r="A1828" t="inlineStr">
        <is>
          <t>CTR-01959</t>
        </is>
      </c>
      <c r="B1828" t="n">
        <v>18515.85</v>
      </c>
    </row>
    <row r="1829">
      <c r="A1829" t="inlineStr">
        <is>
          <t>CTR-01960</t>
        </is>
      </c>
      <c r="B1829" t="n">
        <v>31390.08</v>
      </c>
    </row>
    <row r="1830">
      <c r="A1830" t="inlineStr">
        <is>
          <t>CTR-01961</t>
        </is>
      </c>
      <c r="B1830" t="n">
        <v>13154.77</v>
      </c>
    </row>
    <row r="1831">
      <c r="A1831" t="inlineStr">
        <is>
          <t>CTR-01962</t>
        </is>
      </c>
      <c r="B1831" t="n">
        <v>15670.09</v>
      </c>
    </row>
    <row r="1832">
      <c r="A1832" t="inlineStr">
        <is>
          <t>CTR-01963</t>
        </is>
      </c>
      <c r="B1832" t="n">
        <v>2542</v>
      </c>
    </row>
    <row r="1833">
      <c r="A1833" t="inlineStr">
        <is>
          <t>CTR-01965</t>
        </is>
      </c>
      <c r="B1833" t="n">
        <v>15956.16</v>
      </c>
    </row>
    <row r="1834">
      <c r="A1834" t="inlineStr">
        <is>
          <t>CTR-01966</t>
        </is>
      </c>
      <c r="B1834" t="n">
        <v>413.37</v>
      </c>
    </row>
    <row r="1835">
      <c r="A1835" t="inlineStr">
        <is>
          <t>CTR-01968</t>
        </is>
      </c>
      <c r="B1835" t="n">
        <v>13541.1</v>
      </c>
    </row>
    <row r="1836">
      <c r="A1836" t="inlineStr">
        <is>
          <t>CTR-01969</t>
        </is>
      </c>
      <c r="B1836" t="n">
        <v>24699.21</v>
      </c>
    </row>
    <row r="1837">
      <c r="A1837" t="inlineStr">
        <is>
          <t>CTR-01970</t>
        </is>
      </c>
      <c r="B1837" t="n">
        <v>6390.719999999999</v>
      </c>
    </row>
    <row r="1838">
      <c r="A1838" t="inlineStr">
        <is>
          <t>CTR-01971</t>
        </is>
      </c>
      <c r="B1838" t="n">
        <v>24606.56</v>
      </c>
    </row>
    <row r="1839">
      <c r="A1839" t="inlineStr">
        <is>
          <t>CTR-01972</t>
        </is>
      </c>
      <c r="B1839" t="n">
        <v>23430.44</v>
      </c>
    </row>
    <row r="1840">
      <c r="A1840" t="inlineStr">
        <is>
          <t>CTR-01973</t>
        </is>
      </c>
      <c r="B1840" t="n">
        <v>1242.49</v>
      </c>
    </row>
    <row r="1841">
      <c r="A1841" t="inlineStr">
        <is>
          <t>CTR-01974</t>
        </is>
      </c>
      <c r="B1841" t="n">
        <v>13903.68</v>
      </c>
    </row>
    <row r="1842">
      <c r="A1842" t="inlineStr">
        <is>
          <t>CTR-01975</t>
        </is>
      </c>
      <c r="B1842" t="n">
        <v>15755.92</v>
      </c>
    </row>
    <row r="1843">
      <c r="A1843" t="inlineStr">
        <is>
          <t>CTR-01976</t>
        </is>
      </c>
      <c r="B1843" t="n">
        <v>9403.450000000001</v>
      </c>
    </row>
    <row r="1844">
      <c r="A1844" t="inlineStr">
        <is>
          <t>CTR-01977</t>
        </is>
      </c>
      <c r="B1844" t="n">
        <v>66340.91</v>
      </c>
    </row>
    <row r="1845">
      <c r="A1845" t="inlineStr">
        <is>
          <t>CTR-01978</t>
        </is>
      </c>
      <c r="B1845" t="n">
        <v>19167.94</v>
      </c>
    </row>
    <row r="1846">
      <c r="A1846" t="inlineStr">
        <is>
          <t>CTR-01979</t>
        </is>
      </c>
      <c r="B1846" t="n">
        <v>71846</v>
      </c>
    </row>
    <row r="1847">
      <c r="A1847" t="inlineStr">
        <is>
          <t>CTR-01980</t>
        </is>
      </c>
      <c r="B1847" t="n">
        <v>23477.58</v>
      </c>
    </row>
    <row r="1848">
      <c r="A1848" t="inlineStr">
        <is>
          <t>CTR-01981</t>
        </is>
      </c>
      <c r="B1848" t="n">
        <v>11415.4</v>
      </c>
    </row>
    <row r="1849">
      <c r="A1849" t="inlineStr">
        <is>
          <t>CTR-01982</t>
        </is>
      </c>
      <c r="B1849" t="n">
        <v>14000.78</v>
      </c>
    </row>
    <row r="1850">
      <c r="A1850" t="inlineStr">
        <is>
          <t>CTR-01983</t>
        </is>
      </c>
      <c r="B1850" t="n">
        <v>154108.05</v>
      </c>
    </row>
    <row r="1851">
      <c r="A1851" t="inlineStr">
        <is>
          <t>CTR-01984</t>
        </is>
      </c>
      <c r="B1851" t="n">
        <v>2874.96</v>
      </c>
    </row>
    <row r="1852">
      <c r="A1852" t="inlineStr">
        <is>
          <t>CTR-01985</t>
        </is>
      </c>
      <c r="B1852" t="n">
        <v>30058.55</v>
      </c>
    </row>
    <row r="1853">
      <c r="A1853" t="inlineStr">
        <is>
          <t>CTR-01986</t>
        </is>
      </c>
      <c r="B1853" t="n">
        <v>8575.75</v>
      </c>
    </row>
    <row r="1854">
      <c r="A1854" t="inlineStr">
        <is>
          <t>CTR-01987</t>
        </is>
      </c>
      <c r="B1854" t="n">
        <v>5072.27</v>
      </c>
    </row>
    <row r="1855">
      <c r="A1855" t="inlineStr">
        <is>
          <t>CTR-01988</t>
        </is>
      </c>
      <c r="B1855" t="n">
        <v>34035.66</v>
      </c>
    </row>
    <row r="1856">
      <c r="A1856" t="inlineStr">
        <is>
          <t>CTR-01989</t>
        </is>
      </c>
      <c r="B1856" t="n">
        <v>16236.71</v>
      </c>
    </row>
    <row r="1857">
      <c r="A1857" t="inlineStr">
        <is>
          <t>CTR-01990</t>
        </is>
      </c>
      <c r="B1857" t="n">
        <v>12653.9</v>
      </c>
    </row>
    <row r="1858">
      <c r="A1858" t="inlineStr">
        <is>
          <t>CTR-01991</t>
        </is>
      </c>
      <c r="B1858" t="n">
        <v>27483.4</v>
      </c>
    </row>
    <row r="1859">
      <c r="A1859" t="inlineStr">
        <is>
          <t>CTR-01992</t>
        </is>
      </c>
      <c r="B1859" t="n">
        <v>10703.54</v>
      </c>
    </row>
    <row r="1860">
      <c r="A1860" t="inlineStr">
        <is>
          <t>CTR-01993</t>
        </is>
      </c>
      <c r="B1860" t="n">
        <v>21288.79</v>
      </c>
    </row>
    <row r="1861">
      <c r="A1861" t="inlineStr">
        <is>
          <t>CTR-01994</t>
        </is>
      </c>
      <c r="B1861" t="n">
        <v>7397.02</v>
      </c>
    </row>
    <row r="1862">
      <c r="A1862" t="inlineStr">
        <is>
          <t>CTR-01995</t>
        </is>
      </c>
      <c r="B1862" t="n">
        <v>10011.66</v>
      </c>
    </row>
    <row r="1863">
      <c r="A1863" t="inlineStr">
        <is>
          <t>CTR-01996</t>
        </is>
      </c>
      <c r="B1863" t="n">
        <v>19814.21</v>
      </c>
    </row>
    <row r="1864">
      <c r="A1864" t="inlineStr">
        <is>
          <t>CTR-01997</t>
        </is>
      </c>
      <c r="B1864" t="n">
        <v>1805.56</v>
      </c>
    </row>
    <row r="1865">
      <c r="A1865" t="inlineStr">
        <is>
          <t>CTR-01998</t>
        </is>
      </c>
      <c r="B1865" t="n">
        <v>19845.2</v>
      </c>
    </row>
    <row r="1866">
      <c r="A1866" t="inlineStr">
        <is>
          <t>CTR-01999</t>
        </is>
      </c>
      <c r="B1866" t="n">
        <v>4328.28</v>
      </c>
    </row>
    <row r="1867">
      <c r="A1867" t="inlineStr">
        <is>
          <t>CTR-02000</t>
        </is>
      </c>
      <c r="B1867" t="n">
        <v>97407.25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2026-10-20T11:01:34Z</dcterms:created>
  <dcterms:modified xsi:type="dcterms:W3CDTF">2026-10-20T11:01:34Z</dcterms:modified>
</cp:coreProperties>
</file>